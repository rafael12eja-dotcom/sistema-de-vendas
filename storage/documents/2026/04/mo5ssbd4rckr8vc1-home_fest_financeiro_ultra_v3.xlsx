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ventos_Receitas" sheetId="2" state="visible" r:id="rId2"/>
    <sheet xmlns:r="http://schemas.openxmlformats.org/officeDocument/2006/relationships" name="Despesas_Fixas" sheetId="3" state="visible" r:id="rId3"/>
    <sheet xmlns:r="http://schemas.openxmlformats.org/officeDocument/2006/relationships" name="Investimentos_Ativos" sheetId="4" state="visible" r:id="rId4"/>
    <sheet xmlns:r="http://schemas.openxmlformats.org/officeDocument/2006/relationships" name="Catalogo_Pacotes" sheetId="5" state="visible" r:id="rId5"/>
    <sheet xmlns:r="http://schemas.openxmlformats.org/officeDocument/2006/relationships" name="Fluxo_Caixa_Mensal" sheetId="6" state="visible" r:id="rId6"/>
    <sheet xmlns:r="http://schemas.openxmlformats.org/officeDocument/2006/relationships" name="Simulador_Evento" sheetId="7" state="visible" r:id="rId7"/>
    <sheet xmlns:r="http://schemas.openxmlformats.org/officeDocument/2006/relationships" name="Conferenc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;[Red](&quot;R$&quot; #,##0.00);-"/>
    <numFmt numFmtId="165" formatCode="0.0%;[Red](0.0%);-"/>
    <numFmt numFmtId="166" formatCode="#,##0;[Red](#,##0);-"/>
    <numFmt numFmtId="167" formatCode="dd/mm/yyyy"/>
    <numFmt numFmtId="168" formatCode="mmm/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66666"/>
    </font>
    <font>
      <name val="Calibri"/>
      <b val="1"/>
      <color rgb="00FFFFFF"/>
    </font>
    <font>
      <name val="Calibri"/>
      <b val="1"/>
      <color rgb="00111111"/>
      <sz val="15"/>
    </font>
    <font>
      <name val="Calibri"/>
      <b val="1"/>
      <color rgb="00FFFFFF"/>
      <sz val="16"/>
    </font>
    <font>
      <color rgb="000000FF"/>
    </font>
    <font>
      <color rgb="00008000"/>
    </font>
    <font>
      <color rgb="00000000"/>
    </font>
    <font>
      <name val="Calibri"/>
      <b val="1"/>
    </font>
    <font>
      <name val="Calibri"/>
      <b val="1"/>
      <color rgb="000000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B1B1B"/>
      </patternFill>
    </fill>
    <fill>
      <patternFill patternType="solid">
        <fgColor rgb="00F7F3E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C8A24A"/>
      </left>
      <right style="thin">
        <color rgb="00C8A24A"/>
      </right>
      <top style="thin">
        <color rgb="00C8A24A"/>
      </top>
      <bottom style="thin">
        <color rgb="00C8A24A"/>
      </bottom>
    </border>
    <border>
      <bottom style="medium">
        <color rgb="00C8A24A"/>
      </bottom>
    </border>
    <border>
      <top style="medium">
        <color rgb="00C8A24A"/>
      </top>
    </border>
    <border>
      <left/>
      <right/>
      <top style="thin">
        <color rgb="00C8A24A"/>
      </top>
      <bottom/>
      <diagonal/>
    </border>
    <border>
      <left style="thin">
        <color rgb="00C8A24A"/>
      </left>
      <right/>
      <top/>
      <bottom/>
      <diagonal/>
    </border>
    <border>
      <left/>
      <right style="thin">
        <color rgb="00C8A24A"/>
      </right>
      <top style="thin">
        <color rgb="00C8A24A"/>
      </top>
      <bottom/>
      <diagonal/>
    </border>
    <border>
      <left/>
      <right style="thin">
        <color rgb="00C8A24A"/>
      </right>
      <top/>
      <bottom/>
      <diagonal/>
    </border>
    <border>
      <left style="thin">
        <color rgb="00C8A24A"/>
      </left>
      <right/>
      <top/>
      <bottom style="thin">
        <color rgb="00C8A24A"/>
      </bottom>
      <diagonal/>
    </border>
    <border>
      <left/>
      <right style="thin">
        <color rgb="00C8A24A"/>
      </right>
      <top/>
      <bottom style="thin">
        <color rgb="00C8A24A"/>
      </bottom>
      <diagonal/>
    </border>
    <border>
      <left/>
      <right style="thin">
        <color rgb="00C8A24A"/>
      </right>
      <top style="thin">
        <color rgb="00C8A24A"/>
      </top>
      <bottom style="thin">
        <color rgb="00C8A24A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5" fillId="2" borderId="0" pivotButton="0" quotePrefix="0" xfId="0"/>
    <xf numFmtId="0" fontId="3" fillId="3" borderId="2" applyAlignment="1" pivotButton="0" quotePrefix="0" xfId="0">
      <alignment horizontal="center"/>
    </xf>
    <xf numFmtId="167" fontId="0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0" fillId="5" borderId="0" pivotButton="0" quotePrefix="0" xfId="0"/>
    <xf numFmtId="0" fontId="0" fillId="0" borderId="3" pivotButton="0" quotePrefix="0" xfId="0"/>
    <xf numFmtId="0" fontId="9" fillId="0" borderId="3" pivotButton="0" quotePrefix="0" xfId="0"/>
    <xf numFmtId="164" fontId="9" fillId="0" borderId="3" pivotButton="0" quotePrefix="0" xfId="0"/>
    <xf numFmtId="165" fontId="9" fillId="0" borderId="3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9" fillId="0" borderId="0" pivotButton="0" quotePrefix="0" xfId="0"/>
    <xf numFmtId="0" fontId="10" fillId="6" borderId="0" pivotButton="0" quotePrefix="0" xfId="0"/>
    <xf numFmtId="0" fontId="3" fillId="3" borderId="0" pivotButton="0" quotePrefix="0" xfId="0"/>
    <xf numFmtId="166" fontId="10" fillId="6" borderId="0" pivotButton="0" quotePrefix="0" xfId="0"/>
    <xf numFmtId="165" fontId="10" fillId="6" borderId="0" pivotButton="0" quotePrefix="0" xfId="0"/>
    <xf numFmtId="164" fontId="10" fillId="6" borderId="0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x Custos x Resultado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'Fluxo_Caixa_Mensal'!B5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'Fluxo_Caixa_Mensal'!$A$6:$A$11</f>
            </numRef>
          </cat>
          <val>
            <numRef>
              <f>'Fluxo_Caixa_Mensal'!$B$6:$B$11</f>
            </numRef>
          </val>
        </ser>
        <ser>
          <idx val="1"/>
          <order val="1"/>
          <tx>
            <strRef>
              <f>'Fluxo_Caixa_Mensal'!C5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'Fluxo_Caixa_Mensal'!$A$6:$A$11</f>
            </numRef>
          </cat>
          <val>
            <numRef>
              <f>'Fluxo_Caixa_Mensal'!$C$6:$C$11</f>
            </numRef>
          </val>
        </ser>
        <ser>
          <idx val="2"/>
          <order val="2"/>
          <tx>
            <strRef>
              <f>'Fluxo_Caixa_Mensal'!D5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'Fluxo_Caixa_Mensal'!$A$6:$A$11</f>
            </numRef>
          </cat>
          <val>
            <numRef>
              <f>'Fluxo_Caixa_Mensal'!$D$6:$D$11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'Fluxo_Caixa_Mensal'!H5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'Fluxo_Caixa_Mensal'!$A$6:$A$11</f>
            </numRef>
          </cat>
          <val>
            <numRef>
              <f>'Fluxo_Caixa_Mensal'!$H$6:$H$11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dos Pacotes (Receita)</a:t>
            </a:r>
          </a:p>
        </rich>
      </tx>
    </title>
    <plotArea>
      <pieChart>
        <varyColors val="1"/>
        <ser>
          <idx val="0"/>
          <order val="0"/>
          <tx>
            <strRef>
              <f>'Dashboard'!B22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'Dashboard'!$A$23</f>
            </numRef>
          </cat>
          <val>
            <numRef>
              <f>'Dashboard'!$B$23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12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12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0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Eventos" displayName="tblEventos" ref="A5:M13" headerRowCount="1">
  <autoFilter ref="A5:M13"/>
  <tableColumns count="13">
    <tableColumn id="1" name="ID"/>
    <tableColumn id="2" name="Cliente"/>
    <tableColumn id="3" name="Tipo"/>
    <tableColumn id="4" name="Data Fechamento"/>
    <tableColumn id="5" name="Data Evento"/>
    <tableColumn id="6" name="Receita"/>
    <tableColumn id="7" name="Custo Evento"/>
    <tableColumn id="8" name="Lucro Bruto"/>
    <tableColumn id="9" name="Margem"/>
    <tableColumn id="10" name="Recebido"/>
    <tableColumn id="11" name="Saldo"/>
    <tableColumn id="12" name="Base de Custo"/>
    <tableColumn id="13" name="Observaçõ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espesasFixas" displayName="tblDespesasFixas" ref="A5:F34" headerRowCount="1">
  <autoFilter ref="A5:F34"/>
  <tableColumns count="6">
    <tableColumn id="1" name="ID"/>
    <tableColumn id="2" name="Mês Ref."/>
    <tableColumn id="3" name="Categoria"/>
    <tableColumn id="4" name="Descrição"/>
    <tableColumn id="5" name="Fornecedor"/>
    <tableColumn id="6" name="Valo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Ativos" displayName="tblAtivos" ref="A5:F81" headerRowCount="1">
  <autoFilter ref="A5:F81"/>
  <tableColumns count="6">
    <tableColumn id="1" name="ID"/>
    <tableColumn id="2" name="Macro Grupo"/>
    <tableColumn id="3" name="Item"/>
    <tableColumn id="4" name="Quantidade"/>
    <tableColumn id="5" name="Valor Total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atalogo" displayName="tblCatalogo" ref="A5:G16" headerRowCount="1">
  <autoFilter ref="A5:G16"/>
  <tableColumns count="7">
    <tableColumn id="1" name="ID"/>
    <tableColumn id="2" name="Tipo"/>
    <tableColumn id="3" name="Pessoas"/>
    <tableColumn id="4" name="Custo Base"/>
    <tableColumn id="5" name="Preço Referência"/>
    <tableColumn id="6" name="Margem Ref."/>
    <tableColumn id="7" name="Custo por Pessoa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onferencia" displayName="tblConferencia" ref="A5:F10" headerRowCount="1">
  <autoFilter ref="A5:F10"/>
  <tableColumns count="6">
    <tableColumn id="1" name="Tema"/>
    <tableColumn id="2" name="Item"/>
    <tableColumn id="3" name="Prioridade"/>
    <tableColumn id="4" name="Ação"/>
    <tableColumn id="5" name="Impacto"/>
    <tableColumn id="6" name="Observaçã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" customWidth="1" min="4" max="4"/>
    <col width="12" customWidth="1" min="5" max="5"/>
    <col width="12" customWidth="1" min="6" max="6"/>
    <col width="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HOME FEST | Painel Financeiro 3.0</t>
        </is>
      </c>
    </row>
    <row r="2"/>
    <row r="3">
      <c r="A3" s="2" t="inlineStr">
        <is>
          <t>Modelo consolidado com base nas planilhas enviadas, já em padrão Brasil, com custos reais/estimados, simulador, fluxo de caixa e painel executivo.</t>
        </is>
      </c>
    </row>
    <row r="5">
      <c r="B5" s="3" t="inlineStr">
        <is>
          <t>Receita Contratada</t>
        </is>
      </c>
      <c r="C5" s="30" t="n"/>
      <c r="E5" s="3" t="inlineStr">
        <is>
          <t>Custo dos Eventos</t>
        </is>
      </c>
      <c r="F5" s="30" t="n"/>
      <c r="H5" s="3" t="inlineStr">
        <is>
          <t>Lucro Bruto</t>
        </is>
      </c>
      <c r="I5" s="30" t="n"/>
      <c r="K5" s="3" t="inlineStr">
        <is>
          <t>Margem Bruta</t>
        </is>
      </c>
      <c r="L5" s="30" t="n"/>
    </row>
    <row r="6">
      <c r="B6" s="5">
        <f>SUM(Eventos_Receitas!F6:F13)</f>
        <v/>
      </c>
      <c r="C6" s="31" t="n"/>
      <c r="E6" s="5">
        <f>SUM(Eventos_Receitas!G6:G13)</f>
        <v/>
      </c>
      <c r="F6" s="31" t="n"/>
      <c r="H6" s="5">
        <f>SUM(Eventos_Receitas!H6:H13)</f>
        <v/>
      </c>
      <c r="I6" s="31" t="n"/>
      <c r="K6" s="6">
        <f>IF(B6=0,0,H6/B6)</f>
        <v/>
      </c>
      <c r="L6" s="31" t="n"/>
    </row>
    <row r="7">
      <c r="B7" s="32" t="n"/>
      <c r="C7" s="33" t="n"/>
      <c r="E7" s="32" t="n"/>
      <c r="F7" s="33" t="n"/>
      <c r="H7" s="32" t="n"/>
      <c r="I7" s="33" t="n"/>
      <c r="K7" s="32" t="n"/>
      <c r="L7" s="33" t="n"/>
    </row>
    <row r="9">
      <c r="B9" s="3" t="inlineStr">
        <is>
          <t>Despesas Fixas</t>
        </is>
      </c>
      <c r="C9" s="30" t="n"/>
      <c r="E9" s="3" t="inlineStr">
        <is>
          <t>Ativos / Investimentos</t>
        </is>
      </c>
      <c r="F9" s="30" t="n"/>
      <c r="H9" s="3" t="inlineStr">
        <is>
          <t>Caixa Projetado</t>
        </is>
      </c>
      <c r="I9" s="30" t="n"/>
      <c r="K9" s="3" t="inlineStr">
        <is>
          <t>Eventos Vendidos</t>
        </is>
      </c>
      <c r="L9" s="30" t="n"/>
    </row>
    <row r="10">
      <c r="B10" s="5">
        <f>SUM(Despesas_Fixas!E6:E34)</f>
        <v/>
      </c>
      <c r="C10" s="31" t="n"/>
      <c r="E10" s="5">
        <f>SUM(Investimentos_Ativos!E6:E81)</f>
        <v/>
      </c>
      <c r="F10" s="31" t="n"/>
      <c r="H10" s="5">
        <f>Fluxo_Caixa_Mensal!H11</f>
        <v/>
      </c>
      <c r="I10" s="31" t="n"/>
      <c r="K10" s="7">
        <f>COUNTA(Eventos_Receitas!A6:A13)</f>
        <v/>
      </c>
      <c r="L10" s="31" t="n"/>
    </row>
    <row r="11">
      <c r="B11" s="32" t="n"/>
      <c r="C11" s="33" t="n"/>
      <c r="E11" s="32" t="n"/>
      <c r="F11" s="33" t="n"/>
      <c r="H11" s="32" t="n"/>
      <c r="I11" s="33" t="n"/>
      <c r="K11" s="32" t="n"/>
      <c r="L11" s="33" t="n"/>
    </row>
    <row r="22">
      <c r="A22" t="inlineStr">
        <is>
          <t>Tipo</t>
        </is>
      </c>
      <c r="B22" t="inlineStr">
        <is>
          <t>Receita</t>
        </is>
      </c>
    </row>
    <row r="23">
      <c r="A23" t="inlineStr">
        <is>
          <t>Infantil</t>
        </is>
      </c>
      <c r="B23" s="8" t="n">
        <v>52728</v>
      </c>
    </row>
  </sheetData>
  <mergeCells count="17">
    <mergeCell ref="E6:F7"/>
    <mergeCell ref="H6:I7"/>
    <mergeCell ref="B5:C5"/>
    <mergeCell ref="K6:L7"/>
    <mergeCell ref="E10:F11"/>
    <mergeCell ref="H10:I11"/>
    <mergeCell ref="A1:L2"/>
    <mergeCell ref="K9:L9"/>
    <mergeCell ref="E5:F5"/>
    <mergeCell ref="K5:L5"/>
    <mergeCell ref="B6:C7"/>
    <mergeCell ref="H5:I5"/>
    <mergeCell ref="B10:C11"/>
    <mergeCell ref="K10:L11"/>
    <mergeCell ref="B9:C9"/>
    <mergeCell ref="E9:F9"/>
    <mergeCell ref="H9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3" customWidth="1" min="12" max="12"/>
    <col width="26" customWidth="1" min="13" max="13"/>
  </cols>
  <sheetData>
    <row r="1">
      <c r="A1" s="9" t="inlineStr">
        <is>
          <t>Eventos | Receitas, Custos e Margem</t>
        </is>
      </c>
    </row>
    <row r="2"/>
    <row r="3">
      <c r="A3" s="2" t="inlineStr">
        <is>
          <t>Custos reais foram usados quando havia planilha específica do evento. Nos demais, a planilha usa a base genérica por faixa de convidados.</t>
        </is>
      </c>
    </row>
    <row r="5" ht="22" customHeight="1">
      <c r="A5" s="10" t="inlineStr">
        <is>
          <t>ID</t>
        </is>
      </c>
      <c r="B5" s="10" t="inlineStr">
        <is>
          <t>Cliente</t>
        </is>
      </c>
      <c r="C5" s="10" t="inlineStr">
        <is>
          <t>Tipo</t>
        </is>
      </c>
      <c r="D5" s="10" t="inlineStr">
        <is>
          <t>Data Fechamento</t>
        </is>
      </c>
      <c r="E5" s="10" t="inlineStr">
        <is>
          <t>Data Evento</t>
        </is>
      </c>
      <c r="F5" s="10" t="inlineStr">
        <is>
          <t>Receita</t>
        </is>
      </c>
      <c r="G5" s="10" t="inlineStr">
        <is>
          <t>Custo Evento</t>
        </is>
      </c>
      <c r="H5" s="10" t="inlineStr">
        <is>
          <t>Lucro Bruto</t>
        </is>
      </c>
      <c r="I5" s="10" t="inlineStr">
        <is>
          <t>Margem</t>
        </is>
      </c>
      <c r="J5" s="10" t="inlineStr">
        <is>
          <t>Recebido</t>
        </is>
      </c>
      <c r="K5" s="10" t="inlineStr">
        <is>
          <t>Saldo</t>
        </is>
      </c>
      <c r="L5" s="10" t="inlineStr">
        <is>
          <t>Base de Custo</t>
        </is>
      </c>
      <c r="M5" s="10" t="inlineStr">
        <is>
          <t>Observações</t>
        </is>
      </c>
    </row>
    <row r="6">
      <c r="A6" t="n">
        <v>1</v>
      </c>
      <c r="B6" t="inlineStr">
        <is>
          <t>Mateus</t>
        </is>
      </c>
      <c r="C6" t="inlineStr">
        <is>
          <t>Infantil</t>
        </is>
      </c>
      <c r="D6" s="34" t="n">
        <v>45982</v>
      </c>
      <c r="E6" s="34" t="n">
        <v>45990</v>
      </c>
      <c r="F6" s="12" t="n">
        <v>6220</v>
      </c>
      <c r="G6" s="13" t="n">
        <v>3733.06</v>
      </c>
      <c r="H6" s="14">
        <f>F6-G6</f>
        <v/>
      </c>
      <c r="I6" s="15">
        <f>IF(F6=0,0,H6/F6)</f>
        <v/>
      </c>
      <c r="J6" s="12" t="n">
        <v>6220</v>
      </c>
      <c r="K6" s="12" t="n">
        <v>0</v>
      </c>
      <c r="L6" s="16" t="inlineStr">
        <is>
          <t>Estimado</t>
        </is>
      </c>
    </row>
    <row r="7">
      <c r="A7" t="n">
        <v>2</v>
      </c>
      <c r="B7" t="inlineStr">
        <is>
          <t>Ronaldo</t>
        </is>
      </c>
      <c r="C7" t="inlineStr">
        <is>
          <t>Infantil</t>
        </is>
      </c>
      <c r="D7" s="34" t="n">
        <v>46009</v>
      </c>
      <c r="E7" s="34" t="n">
        <v>46011</v>
      </c>
      <c r="F7" s="12" t="n">
        <v>9990</v>
      </c>
      <c r="G7" s="13" t="n">
        <v>6390.08</v>
      </c>
      <c r="H7" s="14">
        <f>F7-G7</f>
        <v/>
      </c>
      <c r="I7" s="15">
        <f>IF(F7=0,0,H7/F7)</f>
        <v/>
      </c>
      <c r="J7" s="12" t="n">
        <v>9990</v>
      </c>
      <c r="K7" s="12" t="n">
        <v>0</v>
      </c>
      <c r="L7" s="16" t="inlineStr">
        <is>
          <t>Estimado</t>
        </is>
      </c>
    </row>
    <row r="8">
      <c r="A8" t="n">
        <v>3</v>
      </c>
      <c r="B8" t="inlineStr">
        <is>
          <t>Shirley</t>
        </is>
      </c>
      <c r="C8" t="inlineStr">
        <is>
          <t>Infantil</t>
        </is>
      </c>
      <c r="D8" s="34" t="n">
        <v>46006</v>
      </c>
      <c r="E8" s="34" t="n">
        <v>46010</v>
      </c>
      <c r="F8" s="12" t="n">
        <v>1749</v>
      </c>
      <c r="G8" s="13" t="n">
        <v>3223.8</v>
      </c>
      <c r="H8" s="14">
        <f>F8-G8</f>
        <v/>
      </c>
      <c r="I8" s="15">
        <f>IF(F8=0,0,H8/F8)</f>
        <v/>
      </c>
      <c r="J8" s="12" t="n">
        <v>1749</v>
      </c>
      <c r="K8" s="12" t="n">
        <v>0</v>
      </c>
      <c r="L8" s="16" t="inlineStr">
        <is>
          <t>Estimado</t>
        </is>
      </c>
    </row>
    <row r="9">
      <c r="A9" t="n">
        <v>4</v>
      </c>
      <c r="B9" t="inlineStr">
        <is>
          <t>Laissa</t>
        </is>
      </c>
      <c r="C9" t="inlineStr">
        <is>
          <t>Infantil</t>
        </is>
      </c>
      <c r="D9" s="34" t="n">
        <v>46043</v>
      </c>
      <c r="E9" s="34" t="n">
        <v>46075</v>
      </c>
      <c r="F9" s="12" t="n">
        <v>5950</v>
      </c>
      <c r="G9" s="13" t="n">
        <v>4475.51</v>
      </c>
      <c r="H9" s="14">
        <f>F9-G9</f>
        <v/>
      </c>
      <c r="I9" s="15">
        <f>IF(F9=0,0,H9/F9)</f>
        <v/>
      </c>
      <c r="J9" s="12" t="n">
        <v>5950</v>
      </c>
      <c r="K9" s="12" t="n">
        <v>0</v>
      </c>
      <c r="L9" t="inlineStr">
        <is>
          <t>Real</t>
        </is>
      </c>
    </row>
    <row r="10">
      <c r="A10" t="n">
        <v>5</v>
      </c>
      <c r="B10" t="inlineStr">
        <is>
          <t>Aline</t>
        </is>
      </c>
      <c r="C10" t="inlineStr">
        <is>
          <t>Infantil</t>
        </is>
      </c>
      <c r="D10" s="34" t="n">
        <v>46043</v>
      </c>
      <c r="E10" s="34" t="n">
        <v>46088</v>
      </c>
      <c r="F10" s="12" t="n">
        <v>8579</v>
      </c>
      <c r="G10" s="13" t="n">
        <v>6926.11</v>
      </c>
      <c r="H10" s="14">
        <f>F10-G10</f>
        <v/>
      </c>
      <c r="I10" s="15">
        <f>IF(F10=0,0,H10/F10)</f>
        <v/>
      </c>
      <c r="J10" s="12" t="n">
        <v>8579</v>
      </c>
      <c r="K10" s="12" t="n">
        <v>0</v>
      </c>
      <c r="L10" t="inlineStr">
        <is>
          <t>Real</t>
        </is>
      </c>
    </row>
    <row r="11">
      <c r="A11" t="n">
        <v>6</v>
      </c>
      <c r="B11" t="inlineStr">
        <is>
          <t>Luciana</t>
        </is>
      </c>
      <c r="C11" t="inlineStr">
        <is>
          <t>Infantil</t>
        </is>
      </c>
      <c r="D11" s="34" t="n">
        <v>46080</v>
      </c>
      <c r="E11" s="34" t="n">
        <v>46095</v>
      </c>
      <c r="F11" s="12" t="n">
        <v>6640</v>
      </c>
      <c r="G11" s="13" t="n">
        <v>4600.89</v>
      </c>
      <c r="H11" s="14">
        <f>F11-G11</f>
        <v/>
      </c>
      <c r="I11" s="15">
        <f>IF(F11=0,0,H11/F11)</f>
        <v/>
      </c>
      <c r="J11" s="12" t="n">
        <v>6640</v>
      </c>
      <c r="K11" s="12" t="n">
        <v>0</v>
      </c>
      <c r="L11" t="inlineStr">
        <is>
          <t>Real</t>
        </is>
      </c>
    </row>
    <row r="12">
      <c r="A12" t="n">
        <v>7</v>
      </c>
      <c r="B12" t="inlineStr">
        <is>
          <t>Flávia</t>
        </is>
      </c>
      <c r="C12" t="inlineStr">
        <is>
          <t>Infantil</t>
        </is>
      </c>
      <c r="D12" s="34" t="n">
        <v>46076</v>
      </c>
      <c r="E12" s="34" t="n">
        <v>46102</v>
      </c>
      <c r="F12" s="12" t="n">
        <v>5450</v>
      </c>
      <c r="G12" s="13" t="n">
        <v>5162</v>
      </c>
      <c r="H12" s="14">
        <f>F12-G12</f>
        <v/>
      </c>
      <c r="I12" s="15">
        <f>IF(F12=0,0,H12/F12)</f>
        <v/>
      </c>
      <c r="J12" s="12" t="n">
        <v>5450</v>
      </c>
      <c r="K12" s="12" t="n">
        <v>0</v>
      </c>
      <c r="L12" t="inlineStr">
        <is>
          <t>Real</t>
        </is>
      </c>
    </row>
    <row r="13">
      <c r="A13" t="n">
        <v>8</v>
      </c>
      <c r="B13" t="inlineStr">
        <is>
          <t>Bruno</t>
        </is>
      </c>
      <c r="C13" t="inlineStr">
        <is>
          <t>Infantil</t>
        </is>
      </c>
      <c r="D13" s="34" t="n">
        <v>46084</v>
      </c>
      <c r="E13" s="34" t="n">
        <v>46109</v>
      </c>
      <c r="F13" s="12" t="n">
        <v>8150</v>
      </c>
      <c r="G13" s="13" t="n">
        <v>3767.79</v>
      </c>
      <c r="H13" s="14">
        <f>F13-G13</f>
        <v/>
      </c>
      <c r="I13" s="15">
        <f>IF(F13=0,0,H13/F13)</f>
        <v/>
      </c>
      <c r="J13" s="12" t="n">
        <v>8150</v>
      </c>
      <c r="K13" s="12" t="n">
        <v>0</v>
      </c>
      <c r="L13" s="16" t="inlineStr">
        <is>
          <t>Estimado</t>
        </is>
      </c>
    </row>
    <row r="14">
      <c r="A14" s="17" t="n"/>
      <c r="B14" s="17" t="n"/>
      <c r="C14" s="17" t="n"/>
      <c r="D14" s="17" t="n"/>
      <c r="E14" s="18" t="inlineStr">
        <is>
          <t>Totais</t>
        </is>
      </c>
      <c r="F14" s="19">
        <f>SUM(F6:F13)</f>
        <v/>
      </c>
      <c r="G14" s="19">
        <f>SUM(G6:G13)</f>
        <v/>
      </c>
      <c r="H14" s="19">
        <f>SUM(H6:H13)</f>
        <v/>
      </c>
      <c r="I14" s="20">
        <f>IF(F14=0,0,H14/F14)</f>
        <v/>
      </c>
      <c r="J14" s="19">
        <f>SUM(J6:J13)</f>
        <v/>
      </c>
      <c r="K14" s="19">
        <f>SUM(K6:K13)</f>
        <v/>
      </c>
      <c r="L14" s="17" t="n"/>
      <c r="M14" s="17" t="n"/>
    </row>
  </sheetData>
  <mergeCells count="1">
    <mergeCell ref="A1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2" customWidth="1" min="4" max="4"/>
    <col width="18" customWidth="1" min="5" max="5"/>
    <col width="14" customWidth="1" min="6" max="6"/>
  </cols>
  <sheetData>
    <row r="1">
      <c r="A1" s="9" t="inlineStr">
        <is>
          <t>Despesas Fixas | Base Real</t>
        </is>
      </c>
    </row>
    <row r="2"/>
    <row r="3">
      <c r="A3" s="2" t="inlineStr">
        <is>
          <t>Lançamentos importados da planilha financeira enviada. Subtotais originais foram removidos para evitar dupla contagem.</t>
        </is>
      </c>
    </row>
    <row r="5" ht="22" customHeight="1">
      <c r="A5" s="10" t="inlineStr">
        <is>
          <t>ID</t>
        </is>
      </c>
      <c r="B5" s="10" t="inlineStr">
        <is>
          <t>Mês Ref.</t>
        </is>
      </c>
      <c r="C5" s="10" t="inlineStr">
        <is>
          <t>Categoria</t>
        </is>
      </c>
      <c r="D5" s="10" t="inlineStr">
        <is>
          <t>Descrição</t>
        </is>
      </c>
      <c r="E5" s="10" t="inlineStr">
        <is>
          <t>Fornecedor</t>
        </is>
      </c>
      <c r="F5" s="10" t="inlineStr">
        <is>
          <t>Valor</t>
        </is>
      </c>
    </row>
    <row r="6">
      <c r="A6" t="n">
        <v>1</v>
      </c>
      <c r="B6" t="inlineStr">
        <is>
          <t>Novembro 2025</t>
        </is>
      </c>
      <c r="C6" t="inlineStr">
        <is>
          <t>Fixa</t>
        </is>
      </c>
      <c r="D6" t="inlineStr">
        <is>
          <t>Telefone</t>
        </is>
      </c>
      <c r="E6" t="inlineStr">
        <is>
          <t>Vivo</t>
        </is>
      </c>
      <c r="F6" s="12" t="n">
        <v>39.9</v>
      </c>
    </row>
    <row r="7">
      <c r="A7" t="n">
        <v>2</v>
      </c>
      <c r="B7" t="inlineStr">
        <is>
          <t>Novembro 2025</t>
        </is>
      </c>
      <c r="C7" t="inlineStr">
        <is>
          <t>Fixa</t>
        </is>
      </c>
      <c r="D7" t="inlineStr">
        <is>
          <t>Canva</t>
        </is>
      </c>
      <c r="E7" t="inlineStr">
        <is>
          <t>Canva</t>
        </is>
      </c>
      <c r="F7" s="12" t="n">
        <v>35</v>
      </c>
    </row>
    <row r="8">
      <c r="A8" t="n">
        <v>3</v>
      </c>
      <c r="B8" t="inlineStr">
        <is>
          <t>Novembro 2025</t>
        </is>
      </c>
      <c r="C8" t="inlineStr">
        <is>
          <t>Fixa</t>
        </is>
      </c>
      <c r="D8" t="inlineStr">
        <is>
          <t>Chat Gpt</t>
        </is>
      </c>
      <c r="E8" t="inlineStr">
        <is>
          <t>Chat Gpt</t>
        </is>
      </c>
      <c r="F8" s="12" t="n">
        <v>98</v>
      </c>
    </row>
    <row r="9">
      <c r="A9" t="n">
        <v>4</v>
      </c>
      <c r="B9" t="inlineStr">
        <is>
          <t>Novembro 2025</t>
        </is>
      </c>
      <c r="C9" t="inlineStr">
        <is>
          <t>Pró-labore</t>
        </is>
      </c>
      <c r="D9" t="inlineStr">
        <is>
          <t>Retirada Tati</t>
        </is>
      </c>
      <c r="E9" t="inlineStr">
        <is>
          <t>Sócio</t>
        </is>
      </c>
      <c r="F9" s="12" t="n">
        <v>2000</v>
      </c>
    </row>
    <row r="10">
      <c r="A10" t="n">
        <v>5</v>
      </c>
      <c r="B10" t="inlineStr">
        <is>
          <t>Dezembro 2025</t>
        </is>
      </c>
      <c r="C10" t="inlineStr">
        <is>
          <t>Fixa</t>
        </is>
      </c>
      <c r="D10" t="inlineStr">
        <is>
          <t>Taxa Das</t>
        </is>
      </c>
      <c r="E10" t="inlineStr">
        <is>
          <t>CNPJ</t>
        </is>
      </c>
      <c r="F10" s="12" t="n">
        <v>85.45</v>
      </c>
    </row>
    <row r="11">
      <c r="A11" t="n">
        <v>6</v>
      </c>
      <c r="B11" t="inlineStr">
        <is>
          <t>Dezembro 2025</t>
        </is>
      </c>
      <c r="C11" t="inlineStr">
        <is>
          <t>Fixa</t>
        </is>
      </c>
      <c r="D11" t="inlineStr">
        <is>
          <t>Telefone</t>
        </is>
      </c>
      <c r="E11" t="inlineStr">
        <is>
          <t>Vivo</t>
        </is>
      </c>
      <c r="F11" s="12" t="n">
        <v>39.9</v>
      </c>
    </row>
    <row r="12">
      <c r="A12" t="n">
        <v>7</v>
      </c>
      <c r="B12" t="inlineStr">
        <is>
          <t>Dezembro 2025</t>
        </is>
      </c>
      <c r="C12" t="inlineStr">
        <is>
          <t>Fixa</t>
        </is>
      </c>
      <c r="D12" t="inlineStr">
        <is>
          <t>Canva</t>
        </is>
      </c>
      <c r="E12" t="inlineStr">
        <is>
          <t>Canva</t>
        </is>
      </c>
      <c r="F12" s="12" t="n">
        <v>35</v>
      </c>
    </row>
    <row r="13">
      <c r="A13" t="n">
        <v>8</v>
      </c>
      <c r="B13" t="inlineStr">
        <is>
          <t>Dezembro 2025</t>
        </is>
      </c>
      <c r="C13" t="inlineStr">
        <is>
          <t>Fixa</t>
        </is>
      </c>
      <c r="D13" t="inlineStr">
        <is>
          <t>Chat Gpt</t>
        </is>
      </c>
      <c r="E13" t="inlineStr">
        <is>
          <t>Chat Gpt</t>
        </is>
      </c>
      <c r="F13" s="12" t="n">
        <v>98</v>
      </c>
    </row>
    <row r="14">
      <c r="A14" t="n">
        <v>9</v>
      </c>
      <c r="B14" t="inlineStr">
        <is>
          <t>Dezembro 2025</t>
        </is>
      </c>
      <c r="C14" t="inlineStr">
        <is>
          <t>Pró-labore</t>
        </is>
      </c>
      <c r="D14" t="inlineStr">
        <is>
          <t>Retirada Tati</t>
        </is>
      </c>
      <c r="E14" t="inlineStr">
        <is>
          <t>Sócio</t>
        </is>
      </c>
      <c r="F14" s="12" t="n">
        <v>2000</v>
      </c>
    </row>
    <row r="15">
      <c r="A15" t="n">
        <v>10</v>
      </c>
      <c r="B15" t="inlineStr">
        <is>
          <t>Janeiro 2026</t>
        </is>
      </c>
      <c r="C15" t="inlineStr">
        <is>
          <t>Fixa</t>
        </is>
      </c>
      <c r="D15" t="inlineStr">
        <is>
          <t>Taxa Das</t>
        </is>
      </c>
      <c r="E15" t="inlineStr">
        <is>
          <t>CNPJ</t>
        </is>
      </c>
      <c r="F15" s="12" t="n">
        <v>94.01000000000001</v>
      </c>
    </row>
    <row r="16">
      <c r="A16" t="n">
        <v>11</v>
      </c>
      <c r="B16" t="inlineStr">
        <is>
          <t>Janeiro 2026</t>
        </is>
      </c>
      <c r="C16" t="inlineStr">
        <is>
          <t>Fixa</t>
        </is>
      </c>
      <c r="D16" t="inlineStr">
        <is>
          <t>Telefone</t>
        </is>
      </c>
      <c r="E16" t="inlineStr">
        <is>
          <t>Vivo</t>
        </is>
      </c>
      <c r="F16" s="12" t="n">
        <v>39.9</v>
      </c>
    </row>
    <row r="17">
      <c r="A17" t="n">
        <v>12</v>
      </c>
      <c r="B17" t="inlineStr">
        <is>
          <t>Janeiro 2026</t>
        </is>
      </c>
      <c r="C17" t="inlineStr">
        <is>
          <t>Fixa</t>
        </is>
      </c>
      <c r="D17" t="inlineStr">
        <is>
          <t>Canva</t>
        </is>
      </c>
      <c r="E17" t="inlineStr">
        <is>
          <t>Canva</t>
        </is>
      </c>
      <c r="F17" s="12" t="n">
        <v>35</v>
      </c>
    </row>
    <row r="18">
      <c r="A18" t="n">
        <v>13</v>
      </c>
      <c r="B18" t="inlineStr">
        <is>
          <t>Janeiro 2026</t>
        </is>
      </c>
      <c r="C18" t="inlineStr">
        <is>
          <t>Fixa</t>
        </is>
      </c>
      <c r="D18" t="inlineStr">
        <is>
          <t>Chat Gpt</t>
        </is>
      </c>
      <c r="E18" t="inlineStr">
        <is>
          <t>Chat Gpt</t>
        </is>
      </c>
      <c r="F18" s="12" t="n">
        <v>98</v>
      </c>
    </row>
    <row r="19">
      <c r="A19" t="n">
        <v>14</v>
      </c>
      <c r="B19" t="inlineStr">
        <is>
          <t>Janeiro 2026</t>
        </is>
      </c>
      <c r="C19" t="inlineStr">
        <is>
          <t>Pró-labore</t>
        </is>
      </c>
      <c r="D19" t="inlineStr">
        <is>
          <t>Retirada Tati</t>
        </is>
      </c>
      <c r="E19" t="inlineStr">
        <is>
          <t>Sócio</t>
        </is>
      </c>
      <c r="F19" s="12" t="n">
        <v>2000</v>
      </c>
    </row>
    <row r="20">
      <c r="A20" t="n">
        <v>15</v>
      </c>
      <c r="B20" t="inlineStr">
        <is>
          <t>Fevereiro 2026</t>
        </is>
      </c>
      <c r="C20" t="inlineStr">
        <is>
          <t>Fixa</t>
        </is>
      </c>
      <c r="D20" t="inlineStr">
        <is>
          <t>Taxa Das</t>
        </is>
      </c>
      <c r="E20" t="inlineStr">
        <is>
          <t>CNPJ</t>
        </is>
      </c>
      <c r="F20" s="12" t="n">
        <v>103.4</v>
      </c>
    </row>
    <row r="21">
      <c r="A21" t="n">
        <v>16</v>
      </c>
      <c r="B21" t="inlineStr">
        <is>
          <t>Fevereiro 2026</t>
        </is>
      </c>
      <c r="C21" t="inlineStr">
        <is>
          <t>Fixa</t>
        </is>
      </c>
      <c r="D21" t="inlineStr">
        <is>
          <t>Telefone</t>
        </is>
      </c>
      <c r="E21" t="inlineStr">
        <is>
          <t>Vivo</t>
        </is>
      </c>
      <c r="F21" s="12" t="n">
        <v>39.9</v>
      </c>
    </row>
    <row r="22">
      <c r="A22" t="n">
        <v>17</v>
      </c>
      <c r="B22" t="inlineStr">
        <is>
          <t>Fevereiro 2026</t>
        </is>
      </c>
      <c r="C22" t="inlineStr">
        <is>
          <t>Fixa</t>
        </is>
      </c>
      <c r="D22" t="inlineStr">
        <is>
          <t>Canva</t>
        </is>
      </c>
      <c r="E22" t="inlineStr">
        <is>
          <t>Canva</t>
        </is>
      </c>
      <c r="F22" s="12" t="n">
        <v>35</v>
      </c>
    </row>
    <row r="23">
      <c r="A23" t="n">
        <v>18</v>
      </c>
      <c r="B23" t="inlineStr">
        <is>
          <t>Fevereiro 2026</t>
        </is>
      </c>
      <c r="C23" t="inlineStr">
        <is>
          <t>Fixa</t>
        </is>
      </c>
      <c r="D23" t="inlineStr">
        <is>
          <t>Chat Gpt</t>
        </is>
      </c>
      <c r="E23" t="inlineStr">
        <is>
          <t>Chat Gpt</t>
        </is>
      </c>
      <c r="F23" s="12" t="n">
        <v>98</v>
      </c>
    </row>
    <row r="24">
      <c r="A24" t="n">
        <v>19</v>
      </c>
      <c r="B24" t="inlineStr">
        <is>
          <t>Fevereiro 2026</t>
        </is>
      </c>
      <c r="C24" t="inlineStr">
        <is>
          <t>Pró-labore</t>
        </is>
      </c>
      <c r="D24" t="inlineStr">
        <is>
          <t>Retirada Tati</t>
        </is>
      </c>
      <c r="E24" t="inlineStr">
        <is>
          <t>Sócio</t>
        </is>
      </c>
      <c r="F24" s="12" t="n">
        <v>2000</v>
      </c>
    </row>
    <row r="25">
      <c r="A25" t="n">
        <v>20</v>
      </c>
      <c r="B25" t="inlineStr">
        <is>
          <t>Março 2026</t>
        </is>
      </c>
      <c r="C25" t="inlineStr">
        <is>
          <t>Fixa</t>
        </is>
      </c>
      <c r="D25" t="inlineStr">
        <is>
          <t>Taxa Das</t>
        </is>
      </c>
      <c r="E25" t="inlineStr">
        <is>
          <t>CNPJ</t>
        </is>
      </c>
      <c r="F25" s="12" t="n">
        <v>86</v>
      </c>
    </row>
    <row r="26">
      <c r="A26" t="n">
        <v>21</v>
      </c>
      <c r="B26" t="inlineStr">
        <is>
          <t>Março 2026</t>
        </is>
      </c>
      <c r="C26" t="inlineStr">
        <is>
          <t>Fixa</t>
        </is>
      </c>
      <c r="D26" t="inlineStr">
        <is>
          <t>Telefone</t>
        </is>
      </c>
      <c r="E26" t="inlineStr">
        <is>
          <t>Vivo</t>
        </is>
      </c>
      <c r="F26" s="12" t="n">
        <v>39.9</v>
      </c>
    </row>
    <row r="27">
      <c r="A27" t="n">
        <v>22</v>
      </c>
      <c r="B27" t="inlineStr">
        <is>
          <t>Março 2026</t>
        </is>
      </c>
      <c r="C27" t="inlineStr">
        <is>
          <t>Fixa</t>
        </is>
      </c>
      <c r="D27" t="inlineStr">
        <is>
          <t>Canva</t>
        </is>
      </c>
      <c r="E27" t="inlineStr">
        <is>
          <t>Canva</t>
        </is>
      </c>
      <c r="F27" s="12" t="n">
        <v>35</v>
      </c>
    </row>
    <row r="28">
      <c r="A28" t="n">
        <v>23</v>
      </c>
      <c r="B28" t="inlineStr">
        <is>
          <t>Março 2026</t>
        </is>
      </c>
      <c r="C28" t="inlineStr">
        <is>
          <t>Fixa</t>
        </is>
      </c>
      <c r="D28" t="inlineStr">
        <is>
          <t>Chat Gpt</t>
        </is>
      </c>
      <c r="E28" t="inlineStr">
        <is>
          <t>Chat Gpt</t>
        </is>
      </c>
      <c r="F28" s="12" t="n">
        <v>98</v>
      </c>
    </row>
    <row r="29">
      <c r="A29" t="n">
        <v>24</v>
      </c>
      <c r="B29" t="inlineStr">
        <is>
          <t>Março 2026</t>
        </is>
      </c>
      <c r="C29" t="inlineStr">
        <is>
          <t>Pró-labore</t>
        </is>
      </c>
      <c r="D29" t="inlineStr">
        <is>
          <t>Retirada Tati</t>
        </is>
      </c>
      <c r="E29" t="inlineStr">
        <is>
          <t>Sócio</t>
        </is>
      </c>
      <c r="F29" s="12" t="n">
        <v>2000</v>
      </c>
    </row>
    <row r="30">
      <c r="A30" t="n">
        <v>25</v>
      </c>
      <c r="B30" t="inlineStr">
        <is>
          <t>Abril 2026</t>
        </is>
      </c>
      <c r="C30" t="inlineStr">
        <is>
          <t>Fixa</t>
        </is>
      </c>
      <c r="D30" t="inlineStr">
        <is>
          <t>Taxa Das</t>
        </is>
      </c>
      <c r="E30" t="inlineStr">
        <is>
          <t>CNPJ</t>
        </is>
      </c>
      <c r="F30" s="12" t="n">
        <v>86</v>
      </c>
    </row>
    <row r="31">
      <c r="A31" t="n">
        <v>26</v>
      </c>
      <c r="B31" t="inlineStr">
        <is>
          <t>Abril 2026</t>
        </is>
      </c>
      <c r="C31" t="inlineStr">
        <is>
          <t>Fixa</t>
        </is>
      </c>
      <c r="D31" t="inlineStr">
        <is>
          <t>Telefone</t>
        </is>
      </c>
      <c r="E31" t="inlineStr">
        <is>
          <t>Vivo</t>
        </is>
      </c>
      <c r="F31" s="12" t="n">
        <v>39.9</v>
      </c>
    </row>
    <row r="32">
      <c r="A32" t="n">
        <v>27</v>
      </c>
      <c r="B32" t="inlineStr">
        <is>
          <t>Abril 2026</t>
        </is>
      </c>
      <c r="C32" t="inlineStr">
        <is>
          <t>Fixa</t>
        </is>
      </c>
      <c r="D32" t="inlineStr">
        <is>
          <t>Canva</t>
        </is>
      </c>
      <c r="E32" t="inlineStr">
        <is>
          <t>Canva</t>
        </is>
      </c>
      <c r="F32" s="12" t="n">
        <v>35</v>
      </c>
    </row>
    <row r="33">
      <c r="A33" t="n">
        <v>28</v>
      </c>
      <c r="B33" t="inlineStr">
        <is>
          <t>Abril 2026</t>
        </is>
      </c>
      <c r="C33" t="inlineStr">
        <is>
          <t>Fixa</t>
        </is>
      </c>
      <c r="D33" t="inlineStr">
        <is>
          <t>Chat Gpt</t>
        </is>
      </c>
      <c r="E33" t="inlineStr">
        <is>
          <t>Chat Gpt</t>
        </is>
      </c>
      <c r="F33" s="12" t="n">
        <v>98</v>
      </c>
    </row>
    <row r="34">
      <c r="A34" t="n">
        <v>29</v>
      </c>
      <c r="B34" t="inlineStr">
        <is>
          <t>Abril 2026</t>
        </is>
      </c>
      <c r="C34" t="inlineStr">
        <is>
          <t>Pró-labore</t>
        </is>
      </c>
      <c r="D34" t="inlineStr">
        <is>
          <t>Retirada Tati</t>
        </is>
      </c>
      <c r="E34" t="inlineStr">
        <is>
          <t>Sócio</t>
        </is>
      </c>
      <c r="F34" s="12" t="n">
        <v>2000</v>
      </c>
    </row>
    <row r="35">
      <c r="A35" s="17" t="n"/>
      <c r="B35" s="17" t="n"/>
      <c r="C35" s="17" t="n"/>
      <c r="D35" s="17" t="n"/>
      <c r="E35" s="18" t="inlineStr">
        <is>
          <t>Total</t>
        </is>
      </c>
      <c r="F35" s="19">
        <f>SUM(F6:F34)</f>
        <v/>
      </c>
    </row>
  </sheetData>
  <mergeCells count="1"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12" customWidth="1" min="4" max="4"/>
    <col width="14" customWidth="1" min="5" max="5"/>
    <col width="12" customWidth="1" min="6" max="6"/>
  </cols>
  <sheetData>
    <row r="1">
      <c r="A1" s="9" t="inlineStr">
        <is>
          <t>Ativos e Investimentos | Home Fest</t>
        </is>
      </c>
    </row>
    <row r="2"/>
    <row r="3">
      <c r="A3" s="2" t="inlineStr">
        <is>
          <t>Base importada da planilha financeira. Onde o valor total não estava preenchido, o item foi mantido para conferência.</t>
        </is>
      </c>
    </row>
    <row r="5" ht="22" customHeight="1">
      <c r="A5" s="10" t="inlineStr">
        <is>
          <t>ID</t>
        </is>
      </c>
      <c r="B5" s="10" t="inlineStr">
        <is>
          <t>Macro Grupo</t>
        </is>
      </c>
      <c r="C5" s="10" t="inlineStr">
        <is>
          <t>Item</t>
        </is>
      </c>
      <c r="D5" s="10" t="inlineStr">
        <is>
          <t>Quantidade</t>
        </is>
      </c>
      <c r="E5" s="10" t="inlineStr">
        <is>
          <t>Valor Total</t>
        </is>
      </c>
      <c r="F5" s="10" t="inlineStr">
        <is>
          <t>Status</t>
        </is>
      </c>
    </row>
    <row r="6">
      <c r="A6" t="n">
        <v>1</v>
      </c>
      <c r="B6" t="inlineStr">
        <is>
          <t>Administrativo</t>
        </is>
      </c>
      <c r="C6" t="inlineStr">
        <is>
          <t>Notebook</t>
        </is>
      </c>
      <c r="D6" t="n">
        <v>1</v>
      </c>
      <c r="E6" s="8" t="n">
        <v>2500</v>
      </c>
      <c r="F6" t="inlineStr">
        <is>
          <t>Ok</t>
        </is>
      </c>
    </row>
    <row r="7">
      <c r="A7" t="n">
        <v>2</v>
      </c>
      <c r="B7" t="inlineStr">
        <is>
          <t>Administrativo</t>
        </is>
      </c>
      <c r="C7" t="inlineStr">
        <is>
          <t>Impressora</t>
        </is>
      </c>
      <c r="D7" t="n">
        <v>1</v>
      </c>
      <c r="E7" s="8" t="n">
        <v>800</v>
      </c>
      <c r="F7" t="inlineStr">
        <is>
          <t>Ok</t>
        </is>
      </c>
    </row>
    <row r="8">
      <c r="A8" t="n">
        <v>3</v>
      </c>
      <c r="B8" t="inlineStr">
        <is>
          <t>Administrativo</t>
        </is>
      </c>
      <c r="C8" t="inlineStr">
        <is>
          <t>Celular</t>
        </is>
      </c>
      <c r="D8" t="n">
        <v>1</v>
      </c>
      <c r="E8" s="8" t="n">
        <v>1000</v>
      </c>
      <c r="F8" t="inlineStr">
        <is>
          <t>Ok</t>
        </is>
      </c>
    </row>
    <row r="9">
      <c r="A9" t="n">
        <v>4</v>
      </c>
      <c r="B9" t="inlineStr">
        <is>
          <t>Administrativo</t>
        </is>
      </c>
      <c r="C9" t="inlineStr">
        <is>
          <t>Chip para celular</t>
        </is>
      </c>
      <c r="D9" t="n">
        <v>1</v>
      </c>
      <c r="E9" s="8" t="n">
        <v>20</v>
      </c>
      <c r="F9" t="inlineStr">
        <is>
          <t>Ok</t>
        </is>
      </c>
    </row>
    <row r="10">
      <c r="A10" t="n">
        <v>5</v>
      </c>
      <c r="B10" t="inlineStr">
        <is>
          <t>Administrativo</t>
        </is>
      </c>
      <c r="C10" t="inlineStr">
        <is>
          <t>Pasta arquivo</t>
        </is>
      </c>
      <c r="D10" t="n">
        <v>1</v>
      </c>
      <c r="E10" s="8" t="n">
        <v>39.9</v>
      </c>
      <c r="F10" t="inlineStr">
        <is>
          <t>Ok</t>
        </is>
      </c>
    </row>
    <row r="11">
      <c r="A11" t="n">
        <v>6</v>
      </c>
      <c r="B11" t="inlineStr">
        <is>
          <t>Administrativo</t>
        </is>
      </c>
      <c r="C11" t="inlineStr">
        <is>
          <t>Papelaria (canetas, pastas, caderno, grampeador)</t>
        </is>
      </c>
      <c r="E11" s="8" t="n">
        <v>250</v>
      </c>
      <c r="F11" t="inlineStr">
        <is>
          <t>Ok</t>
        </is>
      </c>
    </row>
    <row r="12">
      <c r="A12" t="n">
        <v>7</v>
      </c>
      <c r="B12" t="inlineStr">
        <is>
          <t>Administrativo</t>
        </is>
      </c>
      <c r="C12" t="inlineStr">
        <is>
          <t>Fritadeira</t>
        </is>
      </c>
      <c r="D12" t="n">
        <v>1</v>
      </c>
      <c r="E12" s="8" t="n">
        <v>2200</v>
      </c>
      <c r="F12" t="inlineStr">
        <is>
          <t>Ok</t>
        </is>
      </c>
    </row>
    <row r="13">
      <c r="A13" t="n">
        <v>8</v>
      </c>
      <c r="B13" t="inlineStr">
        <is>
          <t>Administrativo</t>
        </is>
      </c>
      <c r="C13" t="inlineStr">
        <is>
          <t>Forno Elétrico</t>
        </is>
      </c>
      <c r="D13" t="n">
        <v>1</v>
      </c>
      <c r="E13" s="8" t="n">
        <v>800</v>
      </c>
      <c r="F13" t="inlineStr">
        <is>
          <t>Ok</t>
        </is>
      </c>
    </row>
    <row r="14">
      <c r="A14" t="n">
        <v>9</v>
      </c>
      <c r="B14" t="inlineStr">
        <is>
          <t>Administrativo</t>
        </is>
      </c>
      <c r="C14" t="inlineStr">
        <is>
          <t>Carrinho de transporte</t>
        </is>
      </c>
      <c r="D14" t="n">
        <v>1</v>
      </c>
      <c r="E14" s="8" t="n">
        <v>239</v>
      </c>
      <c r="F14" t="inlineStr">
        <is>
          <t>Ok</t>
        </is>
      </c>
    </row>
    <row r="15">
      <c r="A15" t="n">
        <v>10</v>
      </c>
      <c r="B15" t="inlineStr">
        <is>
          <t>Administrativo</t>
        </is>
      </c>
      <c r="C15" t="inlineStr">
        <is>
          <t>Uniforme Blusas e Avental</t>
        </is>
      </c>
      <c r="E15" s="8" t="n">
        <v>1818.8</v>
      </c>
      <c r="F15" t="inlineStr">
        <is>
          <t>Ok</t>
        </is>
      </c>
    </row>
    <row r="16">
      <c r="A16" t="n">
        <v>11</v>
      </c>
      <c r="B16" t="inlineStr">
        <is>
          <t>Administrativo</t>
        </is>
      </c>
      <c r="C16" t="inlineStr">
        <is>
          <t>Adesivos para caixas Grafica</t>
        </is>
      </c>
      <c r="E16" s="8" t="n">
        <v>179.7</v>
      </c>
      <c r="F16" t="inlineStr">
        <is>
          <t>Ok</t>
        </is>
      </c>
    </row>
    <row r="17">
      <c r="A17" t="n">
        <v>12</v>
      </c>
      <c r="B17" t="inlineStr">
        <is>
          <t>Administrativo</t>
        </is>
      </c>
      <c r="C17" t="inlineStr">
        <is>
          <t>Adesivos para copo milk shake</t>
        </is>
      </c>
      <c r="E17" s="8" t="n">
        <v>620</v>
      </c>
      <c r="F17" t="inlineStr">
        <is>
          <t>Ok</t>
        </is>
      </c>
    </row>
    <row r="18">
      <c r="A18" t="n">
        <v>13</v>
      </c>
      <c r="B18" t="inlineStr">
        <is>
          <t>Administrativo</t>
        </is>
      </c>
      <c r="C18" t="inlineStr">
        <is>
          <t>Caixas organizadoras grandes</t>
        </is>
      </c>
      <c r="D18" t="n">
        <v>5</v>
      </c>
      <c r="E18" s="8" t="n">
        <v>500</v>
      </c>
      <c r="F18" t="inlineStr">
        <is>
          <t>Ok</t>
        </is>
      </c>
    </row>
    <row r="19">
      <c r="A19" t="n">
        <v>14</v>
      </c>
      <c r="B19" t="inlineStr">
        <is>
          <t>Administrativo</t>
        </is>
      </c>
      <c r="C19" t="inlineStr">
        <is>
          <t>Caixas organizadoras pequenas</t>
        </is>
      </c>
      <c r="D19" t="n">
        <v>3</v>
      </c>
      <c r="E19" s="8" t="n">
        <v>180</v>
      </c>
      <c r="F19" t="inlineStr">
        <is>
          <t>Ok</t>
        </is>
      </c>
    </row>
    <row r="20">
      <c r="A20" t="n">
        <v>15</v>
      </c>
      <c r="B20" t="inlineStr">
        <is>
          <t>Administrativo</t>
        </is>
      </c>
      <c r="C20" t="inlineStr">
        <is>
          <t>Ventiladores portáteis</t>
        </is>
      </c>
      <c r="D20" t="n">
        <v>2</v>
      </c>
      <c r="E20" s="8" t="n">
        <v>196</v>
      </c>
      <c r="F20" t="inlineStr">
        <is>
          <t>Ok</t>
        </is>
      </c>
    </row>
    <row r="21">
      <c r="A21" t="n">
        <v>16</v>
      </c>
      <c r="B21" t="inlineStr">
        <is>
          <t>Administrativo</t>
        </is>
      </c>
      <c r="C21" t="inlineStr">
        <is>
          <t>Pilhas</t>
        </is>
      </c>
      <c r="D21" t="n">
        <v>4</v>
      </c>
      <c r="E21" s="8" t="n">
        <v>4</v>
      </c>
      <c r="F21" t="inlineStr">
        <is>
          <t>Ok</t>
        </is>
      </c>
    </row>
    <row r="22">
      <c r="A22" t="n">
        <v>17</v>
      </c>
      <c r="B22" t="inlineStr">
        <is>
          <t>Administrativo</t>
        </is>
      </c>
      <c r="C22" t="inlineStr">
        <is>
          <t>Fogão</t>
        </is>
      </c>
      <c r="D22" t="n">
        <v>1</v>
      </c>
      <c r="E22" s="8" t="n">
        <v>0</v>
      </c>
      <c r="F22" s="16" t="inlineStr">
        <is>
          <t>Conferir</t>
        </is>
      </c>
    </row>
    <row r="23">
      <c r="A23" t="n">
        <v>18</v>
      </c>
      <c r="B23" t="inlineStr">
        <is>
          <t>Administrativo</t>
        </is>
      </c>
      <c r="C23" t="inlineStr">
        <is>
          <t>Liquidificador</t>
        </is>
      </c>
      <c r="D23" t="n">
        <v>1</v>
      </c>
      <c r="E23" s="8" t="n">
        <v>239</v>
      </c>
      <c r="F23" t="inlineStr">
        <is>
          <t>Ok</t>
        </is>
      </c>
    </row>
    <row r="24">
      <c r="A24" t="n">
        <v>19</v>
      </c>
      <c r="B24" t="inlineStr">
        <is>
          <t>Administrativo</t>
        </is>
      </c>
      <c r="C24" t="inlineStr">
        <is>
          <t>Maquina de cartão</t>
        </is>
      </c>
      <c r="D24" t="n">
        <v>1</v>
      </c>
      <c r="E24" s="8" t="n">
        <v>149</v>
      </c>
      <c r="F24" t="inlineStr">
        <is>
          <t>Ok</t>
        </is>
      </c>
    </row>
    <row r="25">
      <c r="A25" t="n">
        <v>20</v>
      </c>
      <c r="B25" t="inlineStr">
        <is>
          <t>Administrativo</t>
        </is>
      </c>
      <c r="C25" t="inlineStr">
        <is>
          <t>Frigideira antiaderente</t>
        </is>
      </c>
      <c r="D25" t="n">
        <v>1</v>
      </c>
      <c r="E25" s="8" t="n">
        <v>89</v>
      </c>
      <c r="F25" t="inlineStr">
        <is>
          <t>Ok</t>
        </is>
      </c>
    </row>
    <row r="26">
      <c r="A26" t="n">
        <v>21</v>
      </c>
      <c r="B26" t="inlineStr">
        <is>
          <t>Administrativo</t>
        </is>
      </c>
      <c r="C26" t="inlineStr">
        <is>
          <t>Panelas de ferro</t>
        </is>
      </c>
      <c r="D26" t="n">
        <v>3</v>
      </c>
      <c r="E26" s="8" t="n">
        <v>450</v>
      </c>
      <c r="F26" t="inlineStr">
        <is>
          <t>Ok</t>
        </is>
      </c>
    </row>
    <row r="27">
      <c r="A27" t="n">
        <v>22</v>
      </c>
      <c r="B27" t="inlineStr">
        <is>
          <t>Administrativo</t>
        </is>
      </c>
      <c r="C27" t="inlineStr">
        <is>
          <t>Extensão</t>
        </is>
      </c>
      <c r="D27" t="n">
        <v>1</v>
      </c>
      <c r="E27" s="8" t="n">
        <v>0</v>
      </c>
      <c r="F27" s="16" t="inlineStr">
        <is>
          <t>Conferir</t>
        </is>
      </c>
    </row>
    <row r="28">
      <c r="A28" t="n">
        <v>23</v>
      </c>
      <c r="B28" t="inlineStr">
        <is>
          <t>Administrativo</t>
        </is>
      </c>
      <c r="C28" t="inlineStr">
        <is>
          <t>Fita adesiva</t>
        </is>
      </c>
      <c r="D28" t="n">
        <v>1</v>
      </c>
      <c r="E28" s="8" t="n">
        <v>0</v>
      </c>
      <c r="F28" s="16" t="inlineStr">
        <is>
          <t>Conferir</t>
        </is>
      </c>
    </row>
    <row r="29">
      <c r="A29" t="n">
        <v>24</v>
      </c>
      <c r="B29" t="inlineStr">
        <is>
          <t>Administrativo</t>
        </is>
      </c>
      <c r="C29" t="inlineStr">
        <is>
          <t>Adaptador de tomadas</t>
        </is>
      </c>
      <c r="D29" t="n">
        <v>3</v>
      </c>
      <c r="E29" s="8" t="n">
        <v>30</v>
      </c>
      <c r="F29" t="inlineStr">
        <is>
          <t>Ok</t>
        </is>
      </c>
    </row>
    <row r="30">
      <c r="A30" t="n">
        <v>25</v>
      </c>
      <c r="B30" t="inlineStr">
        <is>
          <t>Administrativo</t>
        </is>
      </c>
      <c r="C30" t="inlineStr">
        <is>
          <t>Saco para presente</t>
        </is>
      </c>
      <c r="D30" t="n">
        <v>100</v>
      </c>
      <c r="E30" s="8" t="n">
        <v>78</v>
      </c>
      <c r="F30" t="inlineStr">
        <is>
          <t>Ok</t>
        </is>
      </c>
    </row>
    <row r="31">
      <c r="A31" t="n">
        <v>26</v>
      </c>
      <c r="B31" t="inlineStr">
        <is>
          <t>Administrativo</t>
        </is>
      </c>
      <c r="C31" t="inlineStr">
        <is>
          <t>Cooler</t>
        </is>
      </c>
      <c r="D31" t="n">
        <v>2</v>
      </c>
      <c r="E31" s="8" t="n">
        <v>278</v>
      </c>
      <c r="F31" t="inlineStr">
        <is>
          <t>Ok</t>
        </is>
      </c>
    </row>
    <row r="32">
      <c r="A32" t="n">
        <v>27</v>
      </c>
      <c r="B32" t="inlineStr">
        <is>
          <t>Administrativo</t>
        </is>
      </c>
      <c r="C32" t="inlineStr">
        <is>
          <t>Total Material</t>
        </is>
      </c>
      <c r="E32" s="8" t="n">
        <v>12660.4</v>
      </c>
      <c r="F32" t="inlineStr">
        <is>
          <t>Ok</t>
        </is>
      </c>
    </row>
    <row r="33">
      <c r="A33" t="n">
        <v>28</v>
      </c>
      <c r="B33" t="inlineStr">
        <is>
          <t>Administrativo</t>
        </is>
      </c>
      <c r="C33" t="inlineStr">
        <is>
          <t>Total Cozinha</t>
        </is>
      </c>
      <c r="E33" s="8" t="n">
        <v>564</v>
      </c>
      <c r="F33" t="inlineStr">
        <is>
          <t>Ok</t>
        </is>
      </c>
    </row>
    <row r="34">
      <c r="A34" t="n">
        <v>29</v>
      </c>
      <c r="B34" t="inlineStr">
        <is>
          <t>Administrativo</t>
        </is>
      </c>
      <c r="C34" t="inlineStr">
        <is>
          <t>Total Decoração</t>
        </is>
      </c>
      <c r="E34" s="8" t="n">
        <v>1290.76</v>
      </c>
      <c r="F34" t="inlineStr">
        <is>
          <t>Ok</t>
        </is>
      </c>
    </row>
    <row r="35">
      <c r="A35" t="n">
        <v>30</v>
      </c>
      <c r="B35" t="inlineStr">
        <is>
          <t>Administrativo</t>
        </is>
      </c>
      <c r="C35" t="inlineStr">
        <is>
          <t>Total Investimento</t>
        </is>
      </c>
      <c r="E35" s="8" t="n">
        <v>14515.16</v>
      </c>
      <c r="F35" t="inlineStr">
        <is>
          <t>Ok</t>
        </is>
      </c>
    </row>
    <row r="36">
      <c r="A36" t="n">
        <v>31</v>
      </c>
      <c r="B36" t="inlineStr">
        <is>
          <t>Cozinha/Operação</t>
        </is>
      </c>
      <c r="C36" t="inlineStr">
        <is>
          <t>Bacias</t>
        </is>
      </c>
      <c r="E36" s="8" t="n">
        <v>0</v>
      </c>
      <c r="F36" s="16" t="inlineStr">
        <is>
          <t>Conferir</t>
        </is>
      </c>
    </row>
    <row r="37">
      <c r="A37" t="n">
        <v>32</v>
      </c>
      <c r="B37" t="inlineStr">
        <is>
          <t>Cozinha/Operação</t>
        </is>
      </c>
      <c r="C37" t="inlineStr">
        <is>
          <t>Bandeja retangular</t>
        </is>
      </c>
      <c r="D37" t="n">
        <v>1</v>
      </c>
      <c r="E37" s="8" t="n">
        <v>0</v>
      </c>
      <c r="F37" s="16" t="inlineStr">
        <is>
          <t>Conferir</t>
        </is>
      </c>
    </row>
    <row r="38">
      <c r="A38" t="n">
        <v>33</v>
      </c>
      <c r="B38" t="inlineStr">
        <is>
          <t>Cozinha/Operação</t>
        </is>
      </c>
      <c r="C38" t="inlineStr">
        <is>
          <t>Bandejas grandes</t>
        </is>
      </c>
      <c r="D38" t="n">
        <v>1</v>
      </c>
      <c r="E38" s="8" t="n">
        <v>0</v>
      </c>
      <c r="F38" s="16" t="inlineStr">
        <is>
          <t>Conferir</t>
        </is>
      </c>
    </row>
    <row r="39">
      <c r="A39" t="n">
        <v>34</v>
      </c>
      <c r="B39" t="inlineStr">
        <is>
          <t>Cozinha/Operação</t>
        </is>
      </c>
      <c r="C39" t="inlineStr">
        <is>
          <t>Bandejas pequenas</t>
        </is>
      </c>
      <c r="D39" t="n">
        <v>3</v>
      </c>
      <c r="E39" s="8" t="n">
        <v>0</v>
      </c>
      <c r="F39" s="16" t="inlineStr">
        <is>
          <t>Conferir</t>
        </is>
      </c>
    </row>
    <row r="40">
      <c r="A40" t="n">
        <v>35</v>
      </c>
      <c r="B40" t="inlineStr">
        <is>
          <t>Cozinha/Operação</t>
        </is>
      </c>
      <c r="C40" t="inlineStr">
        <is>
          <t>Bandejas brancas retas</t>
        </is>
      </c>
      <c r="D40" t="n">
        <v>2</v>
      </c>
      <c r="E40" s="8" t="n">
        <v>0</v>
      </c>
      <c r="F40" s="16" t="inlineStr">
        <is>
          <t>Conferir</t>
        </is>
      </c>
    </row>
    <row r="41">
      <c r="A41" t="n">
        <v>36</v>
      </c>
      <c r="B41" t="inlineStr">
        <is>
          <t>Cozinha/Operação</t>
        </is>
      </c>
      <c r="C41" t="inlineStr">
        <is>
          <t>Boleira branca</t>
        </is>
      </c>
      <c r="D41" t="n">
        <v>1</v>
      </c>
      <c r="E41" s="8" t="n">
        <v>0</v>
      </c>
      <c r="F41" s="16" t="inlineStr">
        <is>
          <t>Conferir</t>
        </is>
      </c>
    </row>
    <row r="42">
      <c r="A42" t="n">
        <v>37</v>
      </c>
      <c r="B42" t="inlineStr">
        <is>
          <t>Cozinha/Operação</t>
        </is>
      </c>
      <c r="C42" t="inlineStr">
        <is>
          <t>Boleira transparente</t>
        </is>
      </c>
      <c r="D42" t="n">
        <v>2</v>
      </c>
      <c r="E42" s="8" t="n">
        <v>0</v>
      </c>
      <c r="F42" s="16" t="inlineStr">
        <is>
          <t>Conferir</t>
        </is>
      </c>
    </row>
    <row r="43">
      <c r="A43" t="n">
        <v>38</v>
      </c>
      <c r="B43" t="inlineStr">
        <is>
          <t>Cozinha/Operação</t>
        </is>
      </c>
      <c r="C43" t="inlineStr">
        <is>
          <t>Bowls transparentes</t>
        </is>
      </c>
      <c r="D43" t="n">
        <v>3</v>
      </c>
      <c r="E43" s="8" t="n">
        <v>0</v>
      </c>
      <c r="F43" s="16" t="inlineStr">
        <is>
          <t>Conferir</t>
        </is>
      </c>
    </row>
    <row r="44">
      <c r="A44" t="n">
        <v>39</v>
      </c>
      <c r="B44" t="inlineStr">
        <is>
          <t>Cozinha/Operação</t>
        </is>
      </c>
      <c r="C44" t="inlineStr">
        <is>
          <t>Burrifador</t>
        </is>
      </c>
      <c r="D44" t="n">
        <v>2</v>
      </c>
      <c r="E44" s="8" t="n">
        <v>0</v>
      </c>
      <c r="F44" s="16" t="inlineStr">
        <is>
          <t>Conferir</t>
        </is>
      </c>
    </row>
    <row r="45">
      <c r="A45" t="n">
        <v>40</v>
      </c>
      <c r="B45" t="inlineStr">
        <is>
          <t>Cozinha/Operação</t>
        </is>
      </c>
      <c r="C45" t="inlineStr">
        <is>
          <t>Caixa de isopor</t>
        </is>
      </c>
      <c r="D45" t="n">
        <v>2</v>
      </c>
      <c r="E45" s="8" t="n">
        <v>96</v>
      </c>
      <c r="F45" t="inlineStr">
        <is>
          <t>Ok</t>
        </is>
      </c>
    </row>
    <row r="46">
      <c r="A46" t="n">
        <v>41</v>
      </c>
      <c r="B46" t="inlineStr">
        <is>
          <t>Cozinha/Operação</t>
        </is>
      </c>
      <c r="C46" t="inlineStr">
        <is>
          <t>Cestos pretos</t>
        </is>
      </c>
      <c r="D46" t="n">
        <v>3</v>
      </c>
      <c r="E46" s="8" t="n">
        <v>0</v>
      </c>
      <c r="F46" s="16" t="inlineStr">
        <is>
          <t>Conferir</t>
        </is>
      </c>
    </row>
    <row r="47">
      <c r="A47" t="n">
        <v>42</v>
      </c>
      <c r="B47" t="inlineStr">
        <is>
          <t>Cozinha/Operação</t>
        </is>
      </c>
      <c r="C47" t="inlineStr">
        <is>
          <t>Chimoa</t>
        </is>
      </c>
      <c r="D47" t="n">
        <v>1</v>
      </c>
      <c r="E47" s="8" t="n">
        <v>0</v>
      </c>
      <c r="F47" s="16" t="inlineStr">
        <is>
          <t>Conferir</t>
        </is>
      </c>
    </row>
    <row r="48">
      <c r="A48" t="n">
        <v>43</v>
      </c>
      <c r="B48" t="inlineStr">
        <is>
          <t>Cozinha/Operação</t>
        </is>
      </c>
      <c r="C48" t="inlineStr">
        <is>
          <t>Colher de silicone</t>
        </is>
      </c>
      <c r="D48" t="n">
        <v>2</v>
      </c>
      <c r="E48" s="8" t="n">
        <v>0</v>
      </c>
      <c r="F48" s="16" t="inlineStr">
        <is>
          <t>Conferir</t>
        </is>
      </c>
    </row>
    <row r="49">
      <c r="A49" t="n">
        <v>44</v>
      </c>
      <c r="B49" t="inlineStr">
        <is>
          <t>Cozinha/Operação</t>
        </is>
      </c>
      <c r="C49" t="inlineStr">
        <is>
          <t>Colher de sobremesa</t>
        </is>
      </c>
      <c r="D49" t="n">
        <v>10</v>
      </c>
      <c r="E49" s="8" t="n">
        <v>0</v>
      </c>
      <c r="F49" s="16" t="inlineStr">
        <is>
          <t>Conferir</t>
        </is>
      </c>
    </row>
    <row r="50">
      <c r="A50" t="n">
        <v>45</v>
      </c>
      <c r="B50" t="inlineStr">
        <is>
          <t>Cozinha/Operação</t>
        </is>
      </c>
      <c r="C50" t="inlineStr">
        <is>
          <t>Colher grande</t>
        </is>
      </c>
      <c r="D50" t="n">
        <v>4</v>
      </c>
      <c r="E50" s="8" t="n">
        <v>0</v>
      </c>
      <c r="F50" s="16" t="inlineStr">
        <is>
          <t>Conferir</t>
        </is>
      </c>
    </row>
    <row r="51">
      <c r="A51" t="n">
        <v>46</v>
      </c>
      <c r="B51" t="inlineStr">
        <is>
          <t>Cozinha/Operação</t>
        </is>
      </c>
      <c r="C51" t="inlineStr">
        <is>
          <t>Colheres</t>
        </is>
      </c>
      <c r="D51" t="n">
        <v>5</v>
      </c>
      <c r="E51" s="8" t="n">
        <v>0</v>
      </c>
      <c r="F51" s="16" t="inlineStr">
        <is>
          <t>Conferir</t>
        </is>
      </c>
    </row>
    <row r="52">
      <c r="A52" t="n">
        <v>47</v>
      </c>
      <c r="B52" t="inlineStr">
        <is>
          <t>Cozinha/Operação</t>
        </is>
      </c>
      <c r="C52" t="inlineStr">
        <is>
          <t>Copos</t>
        </is>
      </c>
      <c r="D52" t="n">
        <v>12</v>
      </c>
      <c r="E52" s="8" t="n">
        <v>0</v>
      </c>
      <c r="F52" s="16" t="inlineStr">
        <is>
          <t>Conferir</t>
        </is>
      </c>
    </row>
    <row r="53">
      <c r="A53" t="n">
        <v>48</v>
      </c>
      <c r="B53" t="inlineStr">
        <is>
          <t>Cozinha/Operação</t>
        </is>
      </c>
      <c r="C53" t="inlineStr">
        <is>
          <t>Escumadeira</t>
        </is>
      </c>
      <c r="D53" t="n">
        <v>1</v>
      </c>
      <c r="E53" s="8" t="n">
        <v>0</v>
      </c>
      <c r="F53" s="16" t="inlineStr">
        <is>
          <t>Conferir</t>
        </is>
      </c>
    </row>
    <row r="54">
      <c r="A54" t="n">
        <v>49</v>
      </c>
      <c r="B54" t="inlineStr">
        <is>
          <t>Cozinha/Operação</t>
        </is>
      </c>
      <c r="C54" t="inlineStr">
        <is>
          <t>Espatula para bolo</t>
        </is>
      </c>
      <c r="D54" t="n">
        <v>1</v>
      </c>
      <c r="E54" s="8" t="n">
        <v>0</v>
      </c>
      <c r="F54" s="16" t="inlineStr">
        <is>
          <t>Conferir</t>
        </is>
      </c>
    </row>
    <row r="55">
      <c r="A55" t="n">
        <v>50</v>
      </c>
      <c r="B55" t="inlineStr">
        <is>
          <t>Cozinha/Operação</t>
        </is>
      </c>
      <c r="C55" t="inlineStr">
        <is>
          <t>Espatula transparente</t>
        </is>
      </c>
      <c r="D55" t="n">
        <v>2</v>
      </c>
      <c r="E55" s="8" t="n">
        <v>0</v>
      </c>
      <c r="F55" s="16" t="inlineStr">
        <is>
          <t>Conferir</t>
        </is>
      </c>
    </row>
    <row r="56">
      <c r="A56" t="n">
        <v>51</v>
      </c>
      <c r="B56" t="inlineStr">
        <is>
          <t>Cozinha/Operação</t>
        </is>
      </c>
      <c r="C56" t="inlineStr">
        <is>
          <t>Facas</t>
        </is>
      </c>
      <c r="D56" t="n">
        <v>4</v>
      </c>
      <c r="E56" s="8" t="n">
        <v>0</v>
      </c>
      <c r="F56" s="16" t="inlineStr">
        <is>
          <t>Conferir</t>
        </is>
      </c>
    </row>
    <row r="57">
      <c r="A57" t="n">
        <v>52</v>
      </c>
      <c r="B57" t="inlineStr">
        <is>
          <t>Cozinha/Operação</t>
        </is>
      </c>
      <c r="C57" t="inlineStr">
        <is>
          <t>Facas de serrinha</t>
        </is>
      </c>
      <c r="D57" t="n">
        <v>2</v>
      </c>
      <c r="E57" s="8" t="n">
        <v>0</v>
      </c>
      <c r="F57" s="16" t="inlineStr">
        <is>
          <t>Conferir</t>
        </is>
      </c>
    </row>
    <row r="58">
      <c r="A58" t="n">
        <v>53</v>
      </c>
      <c r="B58" t="inlineStr">
        <is>
          <t>Cozinha/Operação</t>
        </is>
      </c>
      <c r="C58" t="inlineStr">
        <is>
          <t>Funil</t>
        </is>
      </c>
      <c r="D58" t="n">
        <v>1</v>
      </c>
      <c r="E58" s="8" t="n">
        <v>0</v>
      </c>
      <c r="F58" s="16" t="inlineStr">
        <is>
          <t>Conferir</t>
        </is>
      </c>
    </row>
    <row r="59">
      <c r="A59" t="n">
        <v>54</v>
      </c>
      <c r="B59" t="inlineStr">
        <is>
          <t>Cozinha/Operação</t>
        </is>
      </c>
      <c r="C59" t="inlineStr">
        <is>
          <t>Jarras grandes chopp</t>
        </is>
      </c>
      <c r="D59" t="n">
        <v>2</v>
      </c>
      <c r="E59" s="8" t="n">
        <v>196</v>
      </c>
      <c r="F59" t="inlineStr">
        <is>
          <t>Ok</t>
        </is>
      </c>
    </row>
    <row r="60">
      <c r="A60" t="n">
        <v>55</v>
      </c>
      <c r="B60" t="inlineStr">
        <is>
          <t>Cozinha/Operação</t>
        </is>
      </c>
      <c r="C60" t="inlineStr">
        <is>
          <t>Jarras media buffet infantil</t>
        </is>
      </c>
      <c r="D60" t="n">
        <v>2</v>
      </c>
      <c r="E60" s="8" t="n">
        <v>196</v>
      </c>
      <c r="F60" t="inlineStr">
        <is>
          <t>Ok</t>
        </is>
      </c>
    </row>
    <row r="61">
      <c r="A61" t="n">
        <v>56</v>
      </c>
      <c r="B61" t="inlineStr">
        <is>
          <t>Cozinha/Operação</t>
        </is>
      </c>
      <c r="C61" t="inlineStr">
        <is>
          <t>Jarras pequenas</t>
        </is>
      </c>
      <c r="D61" t="n">
        <v>2</v>
      </c>
      <c r="E61" s="8" t="n">
        <v>76</v>
      </c>
      <c r="F61" t="inlineStr">
        <is>
          <t>Ok</t>
        </is>
      </c>
    </row>
    <row r="62">
      <c r="A62" t="n">
        <v>57</v>
      </c>
      <c r="B62" t="inlineStr">
        <is>
          <t>Cozinha/Operação</t>
        </is>
      </c>
      <c r="C62" t="inlineStr">
        <is>
          <t>Pegador</t>
        </is>
      </c>
      <c r="D62" t="n">
        <v>2</v>
      </c>
      <c r="E62" s="8" t="n">
        <v>0</v>
      </c>
      <c r="F62" s="16" t="inlineStr">
        <is>
          <t>Conferir</t>
        </is>
      </c>
    </row>
    <row r="63">
      <c r="A63" t="n">
        <v>58</v>
      </c>
      <c r="B63" t="inlineStr">
        <is>
          <t>Cozinha/Operação</t>
        </is>
      </c>
      <c r="C63" t="inlineStr">
        <is>
          <t>Peneira</t>
        </is>
      </c>
      <c r="D63" t="n">
        <v>1</v>
      </c>
      <c r="E63" s="8" t="n">
        <v>0</v>
      </c>
      <c r="F63" s="16" t="inlineStr">
        <is>
          <t>Conferir</t>
        </is>
      </c>
    </row>
    <row r="64">
      <c r="A64" t="n">
        <v>59</v>
      </c>
      <c r="B64" t="inlineStr">
        <is>
          <t>Cozinha/Operação</t>
        </is>
      </c>
      <c r="C64" t="inlineStr">
        <is>
          <t>Petisqueira retangular</t>
        </is>
      </c>
      <c r="D64" t="n">
        <v>2</v>
      </c>
      <c r="E64" s="8" t="n">
        <v>0</v>
      </c>
      <c r="F64" s="16" t="inlineStr">
        <is>
          <t>Conferir</t>
        </is>
      </c>
    </row>
    <row r="65">
      <c r="A65" t="n">
        <v>60</v>
      </c>
      <c r="B65" t="inlineStr">
        <is>
          <t>Cozinha/Operação</t>
        </is>
      </c>
      <c r="C65" t="inlineStr">
        <is>
          <t>Pipoqueira</t>
        </is>
      </c>
      <c r="D65" t="n">
        <v>1</v>
      </c>
      <c r="E65" s="8" t="n">
        <v>0</v>
      </c>
      <c r="F65" s="16" t="inlineStr">
        <is>
          <t>Conferir</t>
        </is>
      </c>
    </row>
    <row r="66">
      <c r="A66" t="n">
        <v>61</v>
      </c>
      <c r="B66" t="inlineStr">
        <is>
          <t>Cozinha/Operação</t>
        </is>
      </c>
      <c r="C66" t="inlineStr">
        <is>
          <t>Porta frutas</t>
        </is>
      </c>
      <c r="D66" t="n">
        <v>2</v>
      </c>
      <c r="E66" s="8" t="n">
        <v>0</v>
      </c>
      <c r="F66" s="16" t="inlineStr">
        <is>
          <t>Conferir</t>
        </is>
      </c>
    </row>
    <row r="67">
      <c r="A67" t="n">
        <v>62</v>
      </c>
      <c r="B67" t="inlineStr">
        <is>
          <t>Cozinha/Operação</t>
        </is>
      </c>
      <c r="C67" t="inlineStr">
        <is>
          <t>Porta guardanapo hamburguer</t>
        </is>
      </c>
      <c r="D67" t="n">
        <v>1</v>
      </c>
      <c r="E67" s="8" t="n">
        <v>0</v>
      </c>
      <c r="F67" s="16" t="inlineStr">
        <is>
          <t>Conferir</t>
        </is>
      </c>
    </row>
    <row r="68">
      <c r="A68" t="n">
        <v>63</v>
      </c>
      <c r="B68" t="inlineStr">
        <is>
          <t>Cozinha/Operação</t>
        </is>
      </c>
      <c r="C68" t="inlineStr">
        <is>
          <t>Pratos de porcelanas</t>
        </is>
      </c>
      <c r="D68" t="n">
        <v>3</v>
      </c>
      <c r="E68" s="8" t="n">
        <v>0</v>
      </c>
      <c r="F68" s="16" t="inlineStr">
        <is>
          <t>Conferir</t>
        </is>
      </c>
    </row>
    <row r="69">
      <c r="A69" t="n">
        <v>64</v>
      </c>
      <c r="B69" t="inlineStr">
        <is>
          <t>Cozinha/Operação</t>
        </is>
      </c>
      <c r="C69" t="inlineStr">
        <is>
          <t>Saladeira Oval</t>
        </is>
      </c>
      <c r="D69" t="n">
        <v>2</v>
      </c>
      <c r="E69" s="8" t="n">
        <v>0</v>
      </c>
      <c r="F69" s="16" t="inlineStr">
        <is>
          <t>Conferir</t>
        </is>
      </c>
    </row>
    <row r="70">
      <c r="A70" t="n">
        <v>65</v>
      </c>
      <c r="B70" t="inlineStr">
        <is>
          <t>Cozinha/Operação</t>
        </is>
      </c>
      <c r="C70" t="inlineStr">
        <is>
          <t>Tabua de corte</t>
        </is>
      </c>
      <c r="D70" t="n">
        <v>1</v>
      </c>
      <c r="E70" s="8" t="n">
        <v>0</v>
      </c>
      <c r="F70" s="16" t="inlineStr">
        <is>
          <t>Conferir</t>
        </is>
      </c>
    </row>
    <row r="71">
      <c r="A71" t="n">
        <v>66</v>
      </c>
      <c r="B71" t="inlineStr">
        <is>
          <t>Cozinha/Operação</t>
        </is>
      </c>
      <c r="C71" t="inlineStr">
        <is>
          <t>Tacho</t>
        </is>
      </c>
      <c r="D71" t="n">
        <v>1</v>
      </c>
      <c r="E71" s="8" t="n">
        <v>0</v>
      </c>
      <c r="F71" s="16" t="inlineStr">
        <is>
          <t>Conferir</t>
        </is>
      </c>
    </row>
    <row r="72">
      <c r="A72" t="n">
        <v>67</v>
      </c>
      <c r="B72" t="inlineStr">
        <is>
          <t>Cozinha/Operação</t>
        </is>
      </c>
      <c r="C72" t="inlineStr">
        <is>
          <t>Travessa melanina branca</t>
        </is>
      </c>
      <c r="D72" t="n">
        <v>1</v>
      </c>
      <c r="E72" s="8" t="n">
        <v>0</v>
      </c>
      <c r="F72" s="16" t="inlineStr">
        <is>
          <t>Conferir</t>
        </is>
      </c>
    </row>
    <row r="73">
      <c r="A73" t="n">
        <v>68</v>
      </c>
      <c r="B73" t="inlineStr">
        <is>
          <t>Decoração</t>
        </is>
      </c>
      <c r="C73" t="inlineStr">
        <is>
          <t>Cilindros</t>
        </is>
      </c>
      <c r="D73" t="n">
        <v>3</v>
      </c>
      <c r="E73" s="8" t="n">
        <v>229</v>
      </c>
      <c r="F73" t="inlineStr">
        <is>
          <t>Ok</t>
        </is>
      </c>
    </row>
    <row r="74">
      <c r="A74" t="n">
        <v>69</v>
      </c>
      <c r="B74" t="inlineStr">
        <is>
          <t>Decoração</t>
        </is>
      </c>
      <c r="C74" t="inlineStr">
        <is>
          <t>Compressor</t>
        </is>
      </c>
      <c r="D74" t="n">
        <v>2</v>
      </c>
      <c r="E74" s="8" t="n">
        <v>498</v>
      </c>
      <c r="F74" t="inlineStr">
        <is>
          <t>Ok</t>
        </is>
      </c>
    </row>
    <row r="75">
      <c r="A75" t="n">
        <v>70</v>
      </c>
      <c r="B75" t="inlineStr">
        <is>
          <t>Decoração</t>
        </is>
      </c>
      <c r="C75" t="inlineStr">
        <is>
          <t>Display Maui</t>
        </is>
      </c>
      <c r="D75" t="n">
        <v>5</v>
      </c>
      <c r="E75" s="8" t="n">
        <v>49.9</v>
      </c>
      <c r="F75" t="inlineStr">
        <is>
          <t>Ok</t>
        </is>
      </c>
    </row>
    <row r="76">
      <c r="A76" t="n">
        <v>71</v>
      </c>
      <c r="B76" t="inlineStr">
        <is>
          <t>Decoração</t>
        </is>
      </c>
      <c r="C76" t="inlineStr">
        <is>
          <t>Nylon</t>
        </is>
      </c>
      <c r="D76" t="n">
        <v>1</v>
      </c>
      <c r="E76" s="8" t="n">
        <v>29.9</v>
      </c>
      <c r="F76" t="inlineStr">
        <is>
          <t>Ok</t>
        </is>
      </c>
    </row>
    <row r="77">
      <c r="A77" t="n">
        <v>72</v>
      </c>
      <c r="B77" t="inlineStr">
        <is>
          <t>Decoração</t>
        </is>
      </c>
      <c r="C77" t="inlineStr">
        <is>
          <t>Painel Corujinha + capa</t>
        </is>
      </c>
      <c r="D77" t="n">
        <v>1</v>
      </c>
      <c r="E77" s="8" t="n">
        <v>178</v>
      </c>
      <c r="F77" t="inlineStr">
        <is>
          <t>Ok</t>
        </is>
      </c>
    </row>
    <row r="78">
      <c r="A78" t="n">
        <v>73</v>
      </c>
      <c r="B78" t="inlineStr">
        <is>
          <t>Decoração</t>
        </is>
      </c>
      <c r="C78" t="inlineStr">
        <is>
          <t>Painel futebol + capa</t>
        </is>
      </c>
      <c r="D78" t="n">
        <v>1</v>
      </c>
      <c r="E78" s="8" t="n">
        <v>78</v>
      </c>
      <c r="F78" t="inlineStr">
        <is>
          <t>Ok</t>
        </is>
      </c>
    </row>
    <row r="79">
      <c r="A79" t="n">
        <v>74</v>
      </c>
      <c r="B79" t="inlineStr">
        <is>
          <t>Decoração</t>
        </is>
      </c>
      <c r="C79" t="inlineStr">
        <is>
          <t>Painel Maui + capa</t>
        </is>
      </c>
      <c r="D79" t="n">
        <v>1</v>
      </c>
      <c r="E79" s="8" t="n">
        <v>78</v>
      </c>
      <c r="F79" t="inlineStr">
        <is>
          <t>Ok</t>
        </is>
      </c>
    </row>
    <row r="80">
      <c r="A80" t="n">
        <v>75</v>
      </c>
      <c r="B80" t="inlineStr">
        <is>
          <t>Decoração</t>
        </is>
      </c>
      <c r="C80" t="inlineStr">
        <is>
          <t>Placas de Feliz aniversário</t>
        </is>
      </c>
      <c r="D80" t="n">
        <v>2</v>
      </c>
      <c r="E80" s="8" t="n">
        <v>19.96</v>
      </c>
      <c r="F80" t="inlineStr">
        <is>
          <t>Ok</t>
        </is>
      </c>
    </row>
    <row r="81">
      <c r="A81" t="n">
        <v>76</v>
      </c>
      <c r="B81" t="inlineStr">
        <is>
          <t>Decoração</t>
        </is>
      </c>
      <c r="C81" t="inlineStr">
        <is>
          <t>Suporte para painel</t>
        </is>
      </c>
      <c r="D81" t="n">
        <v>1</v>
      </c>
      <c r="E81" s="8" t="n">
        <v>130</v>
      </c>
      <c r="F81" t="inlineStr">
        <is>
          <t>Ok</t>
        </is>
      </c>
    </row>
    <row r="82">
      <c r="A82" s="17" t="n"/>
      <c r="B82" s="17" t="n"/>
      <c r="C82" s="17" t="n"/>
      <c r="D82" s="18" t="inlineStr">
        <is>
          <t>Total</t>
        </is>
      </c>
      <c r="E82" s="19">
        <f>SUM(E6:E81)</f>
        <v/>
      </c>
      <c r="F82" s="17" t="n"/>
    </row>
  </sheetData>
  <mergeCells count="1"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16" customWidth="1" min="5" max="5"/>
    <col width="12" customWidth="1" min="6" max="6"/>
    <col width="14" customWidth="1" min="7" max="7"/>
  </cols>
  <sheetData>
    <row r="1">
      <c r="A1" s="9" t="inlineStr">
        <is>
          <t>Catálogo de Pacotes e Bases de Custo</t>
        </is>
      </c>
    </row>
    <row r="2"/>
    <row r="3">
      <c r="A3" s="2" t="inlineStr">
        <is>
          <t>Esta aba serve como inteligência de precificação. O simulador busca os custos base daqui.</t>
        </is>
      </c>
    </row>
    <row r="5" ht="22" customHeight="1">
      <c r="A5" s="10" t="inlineStr">
        <is>
          <t>ID</t>
        </is>
      </c>
      <c r="B5" s="10" t="inlineStr">
        <is>
          <t>Tipo</t>
        </is>
      </c>
      <c r="C5" s="10" t="inlineStr">
        <is>
          <t>Pessoas</t>
        </is>
      </c>
      <c r="D5" s="10" t="inlineStr">
        <is>
          <t>Custo Base</t>
        </is>
      </c>
      <c r="E5" s="10" t="inlineStr">
        <is>
          <t>Preço Referência</t>
        </is>
      </c>
      <c r="F5" s="10" t="inlineStr">
        <is>
          <t>Margem Ref.</t>
        </is>
      </c>
      <c r="G5" s="10" t="inlineStr">
        <is>
          <t>Custo por Pessoa</t>
        </is>
      </c>
    </row>
    <row r="6">
      <c r="A6" t="n">
        <v>1</v>
      </c>
      <c r="B6" t="inlineStr">
        <is>
          <t>Brunch</t>
        </is>
      </c>
      <c r="C6" s="21" t="n">
        <v>30</v>
      </c>
      <c r="D6" s="8" t="n">
        <v>2277.47</v>
      </c>
      <c r="E6" s="8" t="n">
        <v>3099.5</v>
      </c>
      <c r="F6" s="22" t="n">
        <v>0.2652137441522825</v>
      </c>
      <c r="G6" s="8" t="n">
        <v>75.91566666666668</v>
      </c>
    </row>
    <row r="7">
      <c r="A7" t="n">
        <v>2</v>
      </c>
      <c r="B7" t="inlineStr">
        <is>
          <t>Café</t>
        </is>
      </c>
      <c r="C7" s="21" t="n">
        <v>50</v>
      </c>
      <c r="D7" s="8" t="n">
        <v>2555.52</v>
      </c>
      <c r="E7" s="8" t="n">
        <v>0</v>
      </c>
      <c r="F7" s="22" t="n">
        <v>0.3</v>
      </c>
      <c r="G7" s="8" t="n">
        <v>51.1104</v>
      </c>
    </row>
    <row r="8">
      <c r="A8" t="n">
        <v>3</v>
      </c>
      <c r="B8" t="inlineStr">
        <is>
          <t>Infantil</t>
        </is>
      </c>
      <c r="C8" s="21" t="n">
        <v>20</v>
      </c>
      <c r="D8" s="8" t="n">
        <v>3223.8</v>
      </c>
      <c r="E8" s="8" t="n">
        <v>0</v>
      </c>
      <c r="F8" s="22" t="n">
        <v>0.2</v>
      </c>
      <c r="G8" s="8" t="n">
        <v>161.19</v>
      </c>
    </row>
    <row r="9">
      <c r="A9" t="n">
        <v>4</v>
      </c>
      <c r="B9" t="inlineStr">
        <is>
          <t>Infantil</t>
        </is>
      </c>
      <c r="C9" s="21" t="n">
        <v>30</v>
      </c>
      <c r="D9" s="8" t="n">
        <v>3655.53</v>
      </c>
      <c r="E9" s="8" t="n">
        <v>0</v>
      </c>
      <c r="F9" s="22" t="n">
        <v>0.3</v>
      </c>
      <c r="G9" s="8" t="n">
        <v>121.851</v>
      </c>
    </row>
    <row r="10">
      <c r="A10" t="n">
        <v>5</v>
      </c>
      <c r="B10" t="inlineStr">
        <is>
          <t>Infantil</t>
        </is>
      </c>
      <c r="C10" s="21" t="n">
        <v>40</v>
      </c>
      <c r="D10" s="8" t="n">
        <v>3733.06</v>
      </c>
      <c r="E10" s="8" t="n">
        <v>4470</v>
      </c>
      <c r="F10" s="22" t="n">
        <v>0.1648635346756151</v>
      </c>
      <c r="G10" s="8" t="n">
        <v>93.32650000000001</v>
      </c>
    </row>
    <row r="11">
      <c r="A11" t="n">
        <v>6</v>
      </c>
      <c r="B11" t="inlineStr">
        <is>
          <t>Infantil</t>
        </is>
      </c>
      <c r="C11" s="21" t="n">
        <v>50</v>
      </c>
      <c r="D11" s="8" t="n">
        <v>3767.79</v>
      </c>
      <c r="E11" s="8" t="n">
        <v>5950</v>
      </c>
      <c r="F11" s="22" t="n">
        <v>0.3667579831932773</v>
      </c>
      <c r="G11" s="8" t="n">
        <v>75.3558</v>
      </c>
    </row>
    <row r="12">
      <c r="A12" t="n">
        <v>7</v>
      </c>
      <c r="B12" t="inlineStr">
        <is>
          <t>Infantil</t>
        </is>
      </c>
      <c r="C12" s="21" t="n">
        <v>60</v>
      </c>
      <c r="D12" s="8" t="n">
        <v>4904.219999999999</v>
      </c>
      <c r="E12" s="8" t="n">
        <v>6380.5</v>
      </c>
      <c r="F12" s="22" t="n">
        <v>0.2313737167933549</v>
      </c>
      <c r="G12" s="8" t="n">
        <v>81.73699999999999</v>
      </c>
    </row>
    <row r="13">
      <c r="A13" t="n">
        <v>8</v>
      </c>
      <c r="B13" t="inlineStr">
        <is>
          <t>Infantil</t>
        </is>
      </c>
      <c r="C13" s="21" t="n">
        <v>70</v>
      </c>
      <c r="D13" s="8" t="n">
        <v>4870.3</v>
      </c>
      <c r="E13" s="8" t="n">
        <v>8399.5</v>
      </c>
      <c r="F13" s="22" t="n">
        <v>0.4201678671349485</v>
      </c>
      <c r="G13" s="8" t="n">
        <v>69.57571428571428</v>
      </c>
    </row>
    <row r="14">
      <c r="A14" t="n">
        <v>9</v>
      </c>
      <c r="B14" t="inlineStr">
        <is>
          <t>Infantil</t>
        </is>
      </c>
      <c r="C14" s="21" t="n">
        <v>80</v>
      </c>
      <c r="D14" s="8" t="n">
        <v>6390.08</v>
      </c>
      <c r="E14" s="8" t="n">
        <v>9990</v>
      </c>
      <c r="F14" s="22" t="n">
        <v>0.3603523523523524</v>
      </c>
      <c r="G14" s="8" t="n">
        <v>79.876</v>
      </c>
    </row>
    <row r="15">
      <c r="A15" t="n">
        <v>10</v>
      </c>
      <c r="B15" t="inlineStr">
        <is>
          <t>Infantil</t>
        </is>
      </c>
      <c r="C15" s="21" t="n">
        <v>100</v>
      </c>
      <c r="D15" s="8" t="n">
        <v>7411.280000000001</v>
      </c>
      <c r="E15" s="8" t="n">
        <v>10200</v>
      </c>
      <c r="F15" s="22" t="n">
        <v>0.2734039215686274</v>
      </c>
      <c r="G15" s="8" t="n">
        <v>74.11280000000001</v>
      </c>
    </row>
    <row r="16">
      <c r="A16" t="n">
        <v>11</v>
      </c>
      <c r="B16" t="inlineStr">
        <is>
          <t>Infantil</t>
        </is>
      </c>
      <c r="C16" s="21" t="n">
        <v>150</v>
      </c>
      <c r="D16" s="8" t="n">
        <v>10238.43</v>
      </c>
      <c r="E16" s="8" t="n">
        <v>13799</v>
      </c>
      <c r="F16" s="22" t="n">
        <v>0.2580310167403436</v>
      </c>
      <c r="G16" s="8" t="n">
        <v>68.25619999999999</v>
      </c>
    </row>
  </sheetData>
  <mergeCells count="1">
    <mergeCell ref="A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9" t="inlineStr">
        <is>
          <t>Fluxo de Caixa Mensal</t>
        </is>
      </c>
    </row>
    <row r="2"/>
    <row r="3">
      <c r="A3" s="2" t="inlineStr">
        <is>
          <t>Entradas por mês de fechamento + custos dos eventos pelo mês de execução + despesas fixas pelo mês de referência.</t>
        </is>
      </c>
    </row>
    <row r="5" ht="22" customHeight="1">
      <c r="A5" s="10" t="inlineStr">
        <is>
          <t>Mês</t>
        </is>
      </c>
      <c r="B5" s="10" t="inlineStr">
        <is>
          <t>Receita Fechada</t>
        </is>
      </c>
      <c r="C5" s="10" t="inlineStr">
        <is>
          <t>Recebido</t>
        </is>
      </c>
      <c r="D5" s="10" t="inlineStr">
        <is>
          <t>Custos Eventos</t>
        </is>
      </c>
      <c r="E5" s="10" t="inlineStr">
        <is>
          <t>Despesas Fixas</t>
        </is>
      </c>
      <c r="F5" s="10" t="inlineStr">
        <is>
          <t>Investimentos</t>
        </is>
      </c>
      <c r="G5" s="10" t="inlineStr">
        <is>
          <t>Resultado do Mês</t>
        </is>
      </c>
      <c r="H5" s="10" t="inlineStr">
        <is>
          <t>Saldo Acumulado</t>
        </is>
      </c>
    </row>
    <row r="6">
      <c r="A6" s="35" t="n">
        <v>45962</v>
      </c>
      <c r="B6" s="8">
        <f>SUMPRODUCT((MONTH(Eventos_Receitas!$D$6:$D$13)=MONTH(A6))*(YEAR(Eventos_Receitas!$D$6:$D$13)=YEAR(A6))*Eventos_Receitas!$F$6:$F$13)</f>
        <v/>
      </c>
      <c r="C6" s="8">
        <f>SUMPRODUCT((MONTH(Eventos_Receitas!$D$6:$D$13)=MONTH(A6))*(YEAR(Eventos_Receitas!$D$6:$D$13)=YEAR(A6))*Eventos_Receitas!$J$6:$J$13)</f>
        <v/>
      </c>
      <c r="D6" s="8">
        <f>SUMPRODUCT((MONTH(Eventos_Receitas!$E$6:$E$13)=MONTH(A6))*(YEAR(Eventos_Receitas!$E$6:$E$13)=YEAR(A6))*Eventos_Receitas!$G$6:$G$13)</f>
        <v/>
      </c>
      <c r="E6" s="8">
        <f>SUMIF(Despesas_Fixas!$B$6:$B$34,"Novembro 2025*",Despesas_Fixas!$F$6:$F$34)</f>
        <v/>
      </c>
      <c r="F6" s="8" t="n">
        <v>23280</v>
      </c>
      <c r="G6" s="8">
        <f>C6-D6-E6-F6</f>
        <v/>
      </c>
      <c r="H6" s="8">
        <f>G6</f>
        <v/>
      </c>
    </row>
    <row r="7">
      <c r="A7" s="35" t="n">
        <v>45992</v>
      </c>
      <c r="B7" s="8">
        <f>SUMPRODUCT((MONTH(Eventos_Receitas!$D$6:$D$13)=MONTH(A7))*(YEAR(Eventos_Receitas!$D$6:$D$13)=YEAR(A7))*Eventos_Receitas!$F$6:$F$13)</f>
        <v/>
      </c>
      <c r="C7" s="8">
        <f>SUMPRODUCT((MONTH(Eventos_Receitas!$D$6:$D$13)=MONTH(A7))*(YEAR(Eventos_Receitas!$D$6:$D$13)=YEAR(A7))*Eventos_Receitas!$J$6:$J$13)</f>
        <v/>
      </c>
      <c r="D7" s="8">
        <f>SUMPRODUCT((MONTH(Eventos_Receitas!$E$6:$E$13)=MONTH(A7))*(YEAR(Eventos_Receitas!$E$6:$E$13)=YEAR(A7))*Eventos_Receitas!$G$6:$G$13)</f>
        <v/>
      </c>
      <c r="E7" s="8">
        <f>SUMIF(Despesas_Fixas!$B$6:$B$34,"Dezembro 2025*",Despesas_Fixas!$F$6:$F$34)</f>
        <v/>
      </c>
      <c r="F7" s="8" t="n">
        <v>0</v>
      </c>
      <c r="G7" s="8">
        <f>C7-D7-E7-F7</f>
        <v/>
      </c>
      <c r="H7" s="8">
        <f>H6+G7</f>
        <v/>
      </c>
    </row>
    <row r="8">
      <c r="A8" s="35" t="n">
        <v>46023</v>
      </c>
      <c r="B8" s="8">
        <f>SUMPRODUCT((MONTH(Eventos_Receitas!$D$6:$D$13)=MONTH(A8))*(YEAR(Eventos_Receitas!$D$6:$D$13)=YEAR(A8))*Eventos_Receitas!$F$6:$F$13)</f>
        <v/>
      </c>
      <c r="C8" s="8">
        <f>SUMPRODUCT((MONTH(Eventos_Receitas!$D$6:$D$13)=MONTH(A8))*(YEAR(Eventos_Receitas!$D$6:$D$13)=YEAR(A8))*Eventos_Receitas!$J$6:$J$13)</f>
        <v/>
      </c>
      <c r="D8" s="8">
        <f>SUMPRODUCT((MONTH(Eventos_Receitas!$E$6:$E$13)=MONTH(A8))*(YEAR(Eventos_Receitas!$E$6:$E$13)=YEAR(A8))*Eventos_Receitas!$G$6:$G$13)</f>
        <v/>
      </c>
      <c r="E8" s="8">
        <f>SUMIF(Despesas_Fixas!$B$6:$B$34,"Janeiro 2026*",Despesas_Fixas!$F$6:$F$34)</f>
        <v/>
      </c>
      <c r="F8" s="8" t="n">
        <v>0</v>
      </c>
      <c r="G8" s="8">
        <f>C8-D8-E8-F8</f>
        <v/>
      </c>
      <c r="H8" s="8">
        <f>H7+G8</f>
        <v/>
      </c>
    </row>
    <row r="9">
      <c r="A9" s="35" t="n">
        <v>46054</v>
      </c>
      <c r="B9" s="8">
        <f>SUMPRODUCT((MONTH(Eventos_Receitas!$D$6:$D$13)=MONTH(A9))*(YEAR(Eventos_Receitas!$D$6:$D$13)=YEAR(A9))*Eventos_Receitas!$F$6:$F$13)</f>
        <v/>
      </c>
      <c r="C9" s="8">
        <f>SUMPRODUCT((MONTH(Eventos_Receitas!$D$6:$D$13)=MONTH(A9))*(YEAR(Eventos_Receitas!$D$6:$D$13)=YEAR(A9))*Eventos_Receitas!$J$6:$J$13)</f>
        <v/>
      </c>
      <c r="D9" s="8">
        <f>SUMPRODUCT((MONTH(Eventos_Receitas!$E$6:$E$13)=MONTH(A9))*(YEAR(Eventos_Receitas!$E$6:$E$13)=YEAR(A9))*Eventos_Receitas!$G$6:$G$13)</f>
        <v/>
      </c>
      <c r="E9" s="8">
        <f>SUMIF(Despesas_Fixas!$B$6:$B$34,"Fevereiro 2026*",Despesas_Fixas!$F$6:$F$34)</f>
        <v/>
      </c>
      <c r="F9" s="8" t="n">
        <v>0</v>
      </c>
      <c r="G9" s="8">
        <f>C9-D9-E9-F9</f>
        <v/>
      </c>
      <c r="H9" s="8">
        <f>H8+G9</f>
        <v/>
      </c>
    </row>
    <row r="10">
      <c r="A10" s="35" t="n">
        <v>46082</v>
      </c>
      <c r="B10" s="8">
        <f>SUMPRODUCT((MONTH(Eventos_Receitas!$D$6:$D$13)=MONTH(A10))*(YEAR(Eventos_Receitas!$D$6:$D$13)=YEAR(A10))*Eventos_Receitas!$F$6:$F$13)</f>
        <v/>
      </c>
      <c r="C10" s="8">
        <f>SUMPRODUCT((MONTH(Eventos_Receitas!$D$6:$D$13)=MONTH(A10))*(YEAR(Eventos_Receitas!$D$6:$D$13)=YEAR(A10))*Eventos_Receitas!$J$6:$J$13)</f>
        <v/>
      </c>
      <c r="D10" s="8">
        <f>SUMPRODUCT((MONTH(Eventos_Receitas!$E$6:$E$13)=MONTH(A10))*(YEAR(Eventos_Receitas!$E$6:$E$13)=YEAR(A10))*Eventos_Receitas!$G$6:$G$13)</f>
        <v/>
      </c>
      <c r="E10" s="8">
        <f>SUMIF(Despesas_Fixas!$B$6:$B$34,"Março 2026*",Despesas_Fixas!$F$6:$F$34)</f>
        <v/>
      </c>
      <c r="F10" s="8" t="n">
        <v>0</v>
      </c>
      <c r="G10" s="8">
        <f>C10-D10-E10-F10</f>
        <v/>
      </c>
      <c r="H10" s="8">
        <f>H9+G10</f>
        <v/>
      </c>
    </row>
    <row r="11">
      <c r="A11" s="35" t="n">
        <v>46113</v>
      </c>
      <c r="B11" s="8">
        <f>SUMPRODUCT((MONTH(Eventos_Receitas!$D$6:$D$13)=MONTH(A11))*(YEAR(Eventos_Receitas!$D$6:$D$13)=YEAR(A11))*Eventos_Receitas!$F$6:$F$13)</f>
        <v/>
      </c>
      <c r="C11" s="8">
        <f>SUMPRODUCT((MONTH(Eventos_Receitas!$D$6:$D$13)=MONTH(A11))*(YEAR(Eventos_Receitas!$D$6:$D$13)=YEAR(A11))*Eventos_Receitas!$J$6:$J$13)</f>
        <v/>
      </c>
      <c r="D11" s="8">
        <f>SUMPRODUCT((MONTH(Eventos_Receitas!$E$6:$E$13)=MONTH(A11))*(YEAR(Eventos_Receitas!$E$6:$E$13)=YEAR(A11))*Eventos_Receitas!$G$6:$G$13)</f>
        <v/>
      </c>
      <c r="E11" s="8">
        <f>SUMIF(Despesas_Fixas!$B$6:$B$34,"Abril 2026*",Despesas_Fixas!$F$6:$F$34)</f>
        <v/>
      </c>
      <c r="F11" s="8" t="n">
        <v>0</v>
      </c>
      <c r="G11" s="8">
        <f>C11-D11-E11-F11</f>
        <v/>
      </c>
      <c r="H11" s="8">
        <f>H10+G11</f>
        <v/>
      </c>
    </row>
    <row r="12">
      <c r="A12" s="18" t="inlineStr">
        <is>
          <t>Total</t>
        </is>
      </c>
      <c r="B12" s="19">
        <f>SUM(B6:B11)</f>
        <v/>
      </c>
      <c r="C12" s="19">
        <f>SUM(C6:C11)</f>
        <v/>
      </c>
      <c r="D12" s="19">
        <f>SUM(D6:D11)</f>
        <v/>
      </c>
      <c r="E12" s="19">
        <f>SUM(E6:E11)</f>
        <v/>
      </c>
      <c r="F12" s="19">
        <f>SUM(F6:F11)</f>
        <v/>
      </c>
      <c r="G12" s="19">
        <f>SUM(G6:G11)</f>
        <v/>
      </c>
      <c r="H12" s="19">
        <f>H11</f>
        <v/>
      </c>
    </row>
  </sheetData>
  <mergeCells count="1">
    <mergeCell ref="A1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" customWidth="1" min="3" max="3"/>
    <col width="4" customWidth="1" min="4" max="4"/>
    <col width="24" customWidth="1" min="5" max="5"/>
    <col width="16" customWidth="1" min="6" max="6"/>
    <col width="4" customWidth="1" min="7" max="7"/>
    <col width="4" customWidth="1" min="8" max="8"/>
  </cols>
  <sheetData>
    <row r="1">
      <c r="A1" s="9" t="inlineStr">
        <is>
          <t>Simulador de Evento | Precificação</t>
        </is>
      </c>
    </row>
    <row r="2"/>
    <row r="3">
      <c r="A3" s="2" t="inlineStr">
        <is>
          <t>Preencha apenas as células azuis. O modelo busca custo base no catálogo, calcula proposta, entrada, saldo e lucro.</t>
        </is>
      </c>
    </row>
    <row r="6">
      <c r="A6" s="24" t="inlineStr">
        <is>
          <t>Tipo do pacote</t>
        </is>
      </c>
      <c r="B6" s="25" t="inlineStr">
        <is>
          <t>Infantil</t>
        </is>
      </c>
      <c r="E6" s="26" t="inlineStr">
        <is>
          <t>Saídas do modelo</t>
        </is>
      </c>
    </row>
    <row r="7">
      <c r="A7" s="24" t="inlineStr">
        <is>
          <t>Pessoas</t>
        </is>
      </c>
      <c r="B7" s="27" t="n">
        <v>50</v>
      </c>
      <c r="E7" s="24" t="inlineStr">
        <is>
          <t>Custo base localizado</t>
        </is>
      </c>
      <c r="F7" s="8">
        <f>SUMIFS(Catalogo_Pacotes!$D$6:$D$16,Catalogo_Pacotes!$B$6:$B$16,$B$6,Catalogo_Pacotes!$C$6:$C$16,$B$7)</f>
        <v/>
      </c>
    </row>
    <row r="8">
      <c r="A8" s="24" t="inlineStr">
        <is>
          <t>Margem desejada</t>
        </is>
      </c>
      <c r="B8" s="28" t="n">
        <v>0.3</v>
      </c>
      <c r="E8" s="24" t="inlineStr">
        <is>
          <t>Preço bruto sugerido</t>
        </is>
      </c>
      <c r="F8" s="8">
        <f>IF(B8&gt;=1,0,ROUND(F7/(1-B8),2))</f>
        <v/>
      </c>
    </row>
    <row r="9">
      <c r="A9" s="24" t="inlineStr">
        <is>
          <t>Extras / Acréscimos</t>
        </is>
      </c>
      <c r="B9" s="29" t="n">
        <v>0</v>
      </c>
      <c r="E9" s="24" t="inlineStr">
        <is>
          <t>Preço final proposto</t>
        </is>
      </c>
      <c r="F9" s="8">
        <f>ROUND(F8+B9-B10,2)</f>
        <v/>
      </c>
    </row>
    <row r="10">
      <c r="A10" s="24" t="inlineStr">
        <is>
          <t>Desconto concedido</t>
        </is>
      </c>
      <c r="B10" s="29" t="n">
        <v>0</v>
      </c>
      <c r="E10" s="24" t="inlineStr">
        <is>
          <t>Lucro estimado</t>
        </is>
      </c>
      <c r="F10" s="8">
        <f>ROUND(F9-F7,2)</f>
        <v/>
      </c>
    </row>
    <row r="11">
      <c r="A11" s="24" t="inlineStr">
        <is>
          <t>Entrada (%)</t>
        </is>
      </c>
      <c r="B11" s="28" t="n">
        <v>0.5</v>
      </c>
      <c r="E11" s="24" t="inlineStr">
        <is>
          <t>Margem final</t>
        </is>
      </c>
      <c r="F11" s="22">
        <f>IF(F9=0,0,F10/F9)</f>
        <v/>
      </c>
    </row>
    <row r="12">
      <c r="E12" s="24" t="inlineStr">
        <is>
          <t>Entrada sugerida</t>
        </is>
      </c>
      <c r="F12" s="8">
        <f>ROUND(F9*B11,2)</f>
        <v/>
      </c>
    </row>
    <row r="13">
      <c r="E13" s="24" t="inlineStr">
        <is>
          <t>Saldo final</t>
        </is>
      </c>
      <c r="F13" s="8">
        <f>ROUND(F9-F12,2)</f>
        <v/>
      </c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8" customWidth="1" min="4" max="4"/>
    <col width="12" customWidth="1" min="5" max="5"/>
    <col width="34" customWidth="1" min="6" max="6"/>
  </cols>
  <sheetData>
    <row r="1">
      <c r="A1" s="9" t="inlineStr">
        <is>
          <t>Pontos de Conferência</t>
        </is>
      </c>
    </row>
    <row r="2"/>
    <row r="3">
      <c r="A3" s="2" t="inlineStr">
        <is>
          <t>Itens que merecem validação manual para deixar a base 100% fechada.</t>
        </is>
      </c>
    </row>
    <row r="5" ht="22" customHeight="1">
      <c r="A5" s="10" t="inlineStr">
        <is>
          <t>Tema</t>
        </is>
      </c>
      <c r="B5" s="10" t="inlineStr">
        <is>
          <t>Item</t>
        </is>
      </c>
      <c r="C5" s="10" t="inlineStr">
        <is>
          <t>Prioridade</t>
        </is>
      </c>
      <c r="D5" s="10" t="inlineStr">
        <is>
          <t>Ação</t>
        </is>
      </c>
      <c r="E5" s="10" t="inlineStr">
        <is>
          <t>Impacto</t>
        </is>
      </c>
      <c r="F5" s="10" t="inlineStr">
        <is>
          <t>Observação</t>
        </is>
      </c>
    </row>
    <row r="6">
      <c r="A6" t="inlineStr">
        <is>
          <t>Receitas</t>
        </is>
      </c>
      <c r="B6" t="inlineStr">
        <is>
          <t>Cliente Ronaldo/Leonardo</t>
        </is>
      </c>
      <c r="C6" t="inlineStr">
        <is>
          <t>Alta</t>
        </is>
      </c>
      <c r="D6" t="inlineStr">
        <is>
          <t>Confirmar nome correto</t>
        </is>
      </c>
      <c r="E6" t="inlineStr">
        <is>
          <t>Médio</t>
        </is>
      </c>
      <c r="F6" t="inlineStr">
        <is>
          <t>A planilha financeira traz "Leonardo", enquanto o caderno vermelho indicava "Ronaldo".</t>
        </is>
      </c>
    </row>
    <row r="7">
      <c r="A7" t="inlineStr">
        <is>
          <t>Receitas</t>
        </is>
      </c>
      <c r="B7" t="inlineStr">
        <is>
          <t>Cliente Bruno/Renan</t>
        </is>
      </c>
      <c r="C7" t="inlineStr">
        <is>
          <t>Alta</t>
        </is>
      </c>
      <c r="D7" t="inlineStr">
        <is>
          <t>Confirmar nome correto</t>
        </is>
      </c>
      <c r="E7" t="inlineStr">
        <is>
          <t>Médio</t>
        </is>
      </c>
      <c r="F7" t="inlineStr">
        <is>
          <t>A planilha financeira traz "Renan", enquanto o caderno vermelho indicava "Bruno".</t>
        </is>
      </c>
    </row>
    <row r="8">
      <c r="A8" t="inlineStr">
        <is>
          <t>Custos</t>
        </is>
      </c>
      <c r="B8" t="inlineStr">
        <is>
          <t>Evento Shirley 20 pessoas</t>
        </is>
      </c>
      <c r="C8" t="inlineStr">
        <is>
          <t>Alta</t>
        </is>
      </c>
      <c r="D8" t="inlineStr">
        <is>
          <t>Revisar custo real</t>
        </is>
      </c>
      <c r="E8" t="inlineStr">
        <is>
          <t>Alto</t>
        </is>
      </c>
      <c r="F8" t="inlineStr">
        <is>
          <t>A base genérica de 20 pessoas gerou margem negativa; pode haver pacote simplificado ou dados faltantes.</t>
        </is>
      </c>
    </row>
    <row r="9">
      <c r="A9" t="inlineStr">
        <is>
          <t>Ativos</t>
        </is>
      </c>
      <c r="B9" t="inlineStr">
        <is>
          <t>Itens com valor zero</t>
        </is>
      </c>
      <c r="C9" t="inlineStr">
        <is>
          <t>Média</t>
        </is>
      </c>
      <c r="D9" t="inlineStr">
        <is>
          <t>Preencher valor</t>
        </is>
      </c>
      <c r="E9" t="inlineStr">
        <is>
          <t>Médio</t>
        </is>
      </c>
      <c r="F9" t="inlineStr">
        <is>
          <t>Mantidos no inventário para não perder estrutura.</t>
        </is>
      </c>
    </row>
    <row r="10">
      <c r="A10" t="inlineStr">
        <is>
          <t>Caixa</t>
        </is>
      </c>
      <c r="B10" t="inlineStr">
        <is>
          <t>Recebimentos futuros</t>
        </is>
      </c>
      <c r="C10" t="inlineStr">
        <is>
          <t>Média</t>
        </is>
      </c>
      <c r="D10" t="inlineStr">
        <is>
          <t>Atualizar coluna recebido/saldo</t>
        </is>
      </c>
      <c r="E10" t="inlineStr">
        <is>
          <t>Alto</t>
        </is>
      </c>
      <c r="F10" t="inlineStr">
        <is>
          <t>O modelo considerou tudo recebido até você lançar parcelas em aberto.</t>
        </is>
      </c>
    </row>
  </sheetData>
  <mergeCells count="1"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2026-04-18T18:17:06Z</dcterms:created>
  <dcterms:modified xmlns:dcterms="http://purl.org/dc/terms/" xmlns:xsi="http://www.w3.org/2001/XMLSchema-instance" xsi:type="dcterms:W3CDTF">2026-04-18T18:17:18Z</dcterms:modified>
</cp:coreProperties>
</file>